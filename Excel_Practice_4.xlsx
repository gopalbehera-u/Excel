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her\Downloads\"/>
    </mc:Choice>
  </mc:AlternateContent>
  <xr:revisionPtr revIDLastSave="0" documentId="13_ncr:1_{5D785256-1379-463B-BD02-3043D0804DD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📋 Tasks" sheetId="2" r:id="rId1"/>
    <sheet name="Sheet1" sheetId="3" r:id="rId2"/>
    <sheet name="Sheet2" sheetId="4" r:id="rId3"/>
    <sheet name="Ecommerce Orders" sheetId="1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1" l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5" i="1"/>
  <c r="AI2" i="1"/>
  <c r="AI3" i="1"/>
  <c r="AI4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2" i="1"/>
  <c r="O88" i="1"/>
  <c r="O85" i="1"/>
  <c r="O82" i="1"/>
  <c r="O66" i="1"/>
  <c r="U2" i="1"/>
  <c r="U4" i="1"/>
  <c r="U5" i="1"/>
  <c r="U6" i="1"/>
  <c r="Y6" i="1" s="1"/>
  <c r="U7" i="1"/>
  <c r="U8" i="1"/>
  <c r="U9" i="1"/>
  <c r="U10" i="1"/>
  <c r="U11" i="1"/>
  <c r="U12" i="1"/>
  <c r="Y12" i="1" s="1"/>
  <c r="U13" i="1"/>
  <c r="U14" i="1"/>
  <c r="Y14" i="1" s="1"/>
  <c r="U15" i="1"/>
  <c r="Y15" i="1" s="1"/>
  <c r="U16" i="1"/>
  <c r="U17" i="1"/>
  <c r="U19" i="1"/>
  <c r="U20" i="1"/>
  <c r="Y20" i="1" s="1"/>
  <c r="U21" i="1"/>
  <c r="Y21" i="1" s="1"/>
  <c r="U22" i="1"/>
  <c r="U23" i="1"/>
  <c r="Y23" i="1" s="1"/>
  <c r="U24" i="1"/>
  <c r="Y24" i="1" s="1"/>
  <c r="U25" i="1"/>
  <c r="Y25" i="1" s="1"/>
  <c r="U26" i="1"/>
  <c r="Y26" i="1" s="1"/>
  <c r="U27" i="1"/>
  <c r="Y27" i="1" s="1"/>
  <c r="U28" i="1"/>
  <c r="U29" i="1"/>
  <c r="U30" i="1"/>
  <c r="U31" i="1"/>
  <c r="V74" i="1"/>
  <c r="V59" i="1"/>
  <c r="V50" i="1"/>
  <c r="V47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2" i="1"/>
  <c r="Y8" i="1"/>
  <c r="Y3" i="1"/>
  <c r="Y4" i="1"/>
  <c r="Y5" i="1"/>
  <c r="Y7" i="1"/>
  <c r="Y10" i="1"/>
  <c r="Y16" i="1"/>
  <c r="Y17" i="1"/>
  <c r="Y19" i="1"/>
  <c r="Y22" i="1"/>
  <c r="Y28" i="1"/>
  <c r="Y29" i="1"/>
  <c r="Y30" i="1"/>
  <c r="Y3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2" i="1"/>
  <c r="T4" i="1"/>
  <c r="T5" i="1"/>
  <c r="T6" i="1"/>
  <c r="T13" i="1"/>
  <c r="T14" i="1"/>
  <c r="T15" i="1"/>
  <c r="T17" i="1"/>
  <c r="T18" i="1"/>
  <c r="U18" i="1" s="1"/>
  <c r="T25" i="1"/>
  <c r="T26" i="1"/>
  <c r="T27" i="1"/>
  <c r="T29" i="1"/>
  <c r="T30" i="1"/>
  <c r="S3" i="1"/>
  <c r="T3" i="1" s="1"/>
  <c r="S4" i="1"/>
  <c r="S5" i="1"/>
  <c r="S6" i="1"/>
  <c r="S7" i="1"/>
  <c r="T7" i="1" s="1"/>
  <c r="S8" i="1"/>
  <c r="T8" i="1" s="1"/>
  <c r="S9" i="1"/>
  <c r="S10" i="1"/>
  <c r="S11" i="1"/>
  <c r="S12" i="1"/>
  <c r="S13" i="1"/>
  <c r="S14" i="1"/>
  <c r="S15" i="1"/>
  <c r="S16" i="1"/>
  <c r="T16" i="1" s="1"/>
  <c r="S17" i="1"/>
  <c r="S18" i="1"/>
  <c r="S19" i="1"/>
  <c r="T19" i="1" s="1"/>
  <c r="S20" i="1"/>
  <c r="T20" i="1" s="1"/>
  <c r="S21" i="1"/>
  <c r="S22" i="1"/>
  <c r="S23" i="1"/>
  <c r="S24" i="1"/>
  <c r="S25" i="1"/>
  <c r="S26" i="1"/>
  <c r="S27" i="1"/>
  <c r="S28" i="1"/>
  <c r="T28" i="1" s="1"/>
  <c r="S29" i="1"/>
  <c r="S30" i="1"/>
  <c r="S31" i="1"/>
  <c r="T31" i="1" s="1"/>
  <c r="S2" i="1"/>
  <c r="T2" i="1" s="1"/>
  <c r="Y18" i="1" l="1"/>
  <c r="O77" i="1"/>
  <c r="O74" i="1"/>
  <c r="O64" i="1"/>
  <c r="O71" i="1"/>
  <c r="O69" i="1"/>
  <c r="O91" i="1"/>
  <c r="V71" i="1"/>
  <c r="V56" i="1"/>
  <c r="V44" i="1"/>
  <c r="V53" i="1"/>
  <c r="V66" i="1"/>
  <c r="Y13" i="1"/>
  <c r="Y9" i="1"/>
  <c r="V63" i="1"/>
  <c r="Y11" i="1"/>
  <c r="V68" i="1"/>
  <c r="V41" i="1"/>
  <c r="T24" i="1"/>
  <c r="T12" i="1"/>
  <c r="T23" i="1"/>
  <c r="T11" i="1"/>
  <c r="T22" i="1"/>
  <c r="T10" i="1"/>
  <c r="T21" i="1"/>
  <c r="T9" i="1"/>
  <c r="U3" i="1"/>
</calcChain>
</file>

<file path=xl/sharedStrings.xml><?xml version="1.0" encoding="utf-8"?>
<sst xmlns="http://schemas.openxmlformats.org/spreadsheetml/2006/main" count="596" uniqueCount="286">
  <si>
    <t>OrderID</t>
  </si>
  <si>
    <t>CustomerName</t>
  </si>
  <si>
    <t>Age</t>
  </si>
  <si>
    <t>Gender</t>
  </si>
  <si>
    <t>City</t>
  </si>
  <si>
    <t>State</t>
  </si>
  <si>
    <t>Category</t>
  </si>
  <si>
    <t>SubCategory</t>
  </si>
  <si>
    <t>OrderDate</t>
  </si>
  <si>
    <t>ShipDate</t>
  </si>
  <si>
    <t>ShipMode</t>
  </si>
  <si>
    <t>Quantity</t>
  </si>
  <si>
    <t>UnitPrice</t>
  </si>
  <si>
    <t>Discount%</t>
  </si>
  <si>
    <t>ReturnStatus</t>
  </si>
  <si>
    <t>PaymentMode</t>
  </si>
  <si>
    <t>CustomerSegment</t>
  </si>
  <si>
    <t>Rating</t>
  </si>
  <si>
    <t>ORD001</t>
  </si>
  <si>
    <t>Aarav Sharma</t>
  </si>
  <si>
    <t>Male</t>
  </si>
  <si>
    <t>Mumbai</t>
  </si>
  <si>
    <t>Maharashtra</t>
  </si>
  <si>
    <t>Electronics</t>
  </si>
  <si>
    <t>Mobile</t>
  </si>
  <si>
    <t>2024-01-03</t>
  </si>
  <si>
    <t>2024-01-06</t>
  </si>
  <si>
    <t>Express</t>
  </si>
  <si>
    <t>No</t>
  </si>
  <si>
    <t>UPI</t>
  </si>
  <si>
    <t>Regular</t>
  </si>
  <si>
    <t>ORD002</t>
  </si>
  <si>
    <t>Priya Nair</t>
  </si>
  <si>
    <t>Female</t>
  </si>
  <si>
    <t>Delhi</t>
  </si>
  <si>
    <t>Clothing</t>
  </si>
  <si>
    <t>Ethnic Wear</t>
  </si>
  <si>
    <t>2024-01-05</t>
  </si>
  <si>
    <t>2024-01-09</t>
  </si>
  <si>
    <t>Standard</t>
  </si>
  <si>
    <t>Credit Card</t>
  </si>
  <si>
    <t>Premium</t>
  </si>
  <si>
    <t>ORD003</t>
  </si>
  <si>
    <t>Rohit Verma</t>
  </si>
  <si>
    <t>Bangalore</t>
  </si>
  <si>
    <t>Karnataka</t>
  </si>
  <si>
    <t>Laptop</t>
  </si>
  <si>
    <t>2024-01-07</t>
  </si>
  <si>
    <t>2024-01-10</t>
  </si>
  <si>
    <t>Debit Card</t>
  </si>
  <si>
    <t>ORD004</t>
  </si>
  <si>
    <t>Sneha Pillai</t>
  </si>
  <si>
    <t>Chennai</t>
  </si>
  <si>
    <t>Tamil Nadu</t>
  </si>
  <si>
    <t>Home &amp; Kitchen</t>
  </si>
  <si>
    <t>Cookware</t>
  </si>
  <si>
    <t>2024-01-08</t>
  </si>
  <si>
    <t>2024-01-14</t>
  </si>
  <si>
    <t>Yes</t>
  </si>
  <si>
    <t>COD</t>
  </si>
  <si>
    <t>ORD005</t>
  </si>
  <si>
    <t>Karan Patel</t>
  </si>
  <si>
    <t>Hyderabad</t>
  </si>
  <si>
    <t>Telangana</t>
  </si>
  <si>
    <t>Tablet</t>
  </si>
  <si>
    <t>2024-01-13</t>
  </si>
  <si>
    <t>ORD006</t>
  </si>
  <si>
    <t>Divya Reddy</t>
  </si>
  <si>
    <t>Pune</t>
  </si>
  <si>
    <t>Western Wear</t>
  </si>
  <si>
    <t>2024-01-12</t>
  </si>
  <si>
    <t>2024-01-17</t>
  </si>
  <si>
    <t>ORD007</t>
  </si>
  <si>
    <t>Arjun Das</t>
  </si>
  <si>
    <t>Kolkata</t>
  </si>
  <si>
    <t>West Bengal</t>
  </si>
  <si>
    <t>Books</t>
  </si>
  <si>
    <t>Fiction</t>
  </si>
  <si>
    <t>2024-01-18</t>
  </si>
  <si>
    <t>Economy</t>
  </si>
  <si>
    <t>ORD008</t>
  </si>
  <si>
    <t>Meera Joshi</t>
  </si>
  <si>
    <t>Jaipur</t>
  </si>
  <si>
    <t>Rajasthan</t>
  </si>
  <si>
    <t>Furniture</t>
  </si>
  <si>
    <t>2024-01-15</t>
  </si>
  <si>
    <t>2024-01-22</t>
  </si>
  <si>
    <t>ORD009</t>
  </si>
  <si>
    <t>Vikram Shah</t>
  </si>
  <si>
    <t>Ahmedabad</t>
  </si>
  <si>
    <t>Gujarat</t>
  </si>
  <si>
    <t>Camera</t>
  </si>
  <si>
    <t>2024-01-20</t>
  </si>
  <si>
    <t>ORD010</t>
  </si>
  <si>
    <t>Ananya Kumar</t>
  </si>
  <si>
    <t>Footwear</t>
  </si>
  <si>
    <t>2024-01-19</t>
  </si>
  <si>
    <t>2024-01-24</t>
  </si>
  <si>
    <t>ORD011</t>
  </si>
  <si>
    <t>Rahul Iyer</t>
  </si>
  <si>
    <t>Non-Fiction</t>
  </si>
  <si>
    <t>2024-01-21</t>
  </si>
  <si>
    <t>2024-01-25</t>
  </si>
  <si>
    <t>ORD012</t>
  </si>
  <si>
    <t>Pooja Mehta</t>
  </si>
  <si>
    <t>Headphones</t>
  </si>
  <si>
    <t>ORD013</t>
  </si>
  <si>
    <t>Nikhil Rao</t>
  </si>
  <si>
    <t>Bedding</t>
  </si>
  <si>
    <t>2024-01-30</t>
  </si>
  <si>
    <t>ORD014</t>
  </si>
  <si>
    <t>Kavya Singh</t>
  </si>
  <si>
    <t>2024-01-26</t>
  </si>
  <si>
    <t>2024-01-31</t>
  </si>
  <si>
    <t>ORD015</t>
  </si>
  <si>
    <t>Siddharth Das</t>
  </si>
  <si>
    <t>Smart TV</t>
  </si>
  <si>
    <t>2024-01-28</t>
  </si>
  <si>
    <t>2024-02-01</t>
  </si>
  <si>
    <t>ORD016</t>
  </si>
  <si>
    <t>Lakshmi Nair</t>
  </si>
  <si>
    <t>Academic</t>
  </si>
  <si>
    <t>2024-02-04</t>
  </si>
  <si>
    <t>ORD017</t>
  </si>
  <si>
    <t>Aditya Patel</t>
  </si>
  <si>
    <t>2024-02-06</t>
  </si>
  <si>
    <t>ORD018</t>
  </si>
  <si>
    <t>Nisha Verma</t>
  </si>
  <si>
    <t>2024-02-03</t>
  </si>
  <si>
    <t>2024-02-09</t>
  </si>
  <si>
    <t>ORD019</t>
  </si>
  <si>
    <t>Rajesh Kumar</t>
  </si>
  <si>
    <t>2024-02-05</t>
  </si>
  <si>
    <t>2024-02-08</t>
  </si>
  <si>
    <t>ORD020</t>
  </si>
  <si>
    <t>Sunita Shah</t>
  </si>
  <si>
    <t>2024-02-07</t>
  </si>
  <si>
    <t>2024-02-12</t>
  </si>
  <si>
    <t>ORD021</t>
  </si>
  <si>
    <t>Amit Sharma</t>
  </si>
  <si>
    <t>2024-02-13</t>
  </si>
  <si>
    <t>ORD022</t>
  </si>
  <si>
    <t>Deepa Rao</t>
  </si>
  <si>
    <t>2024-02-11</t>
  </si>
  <si>
    <t>2024-02-14</t>
  </si>
  <si>
    <t>ORD023</t>
  </si>
  <si>
    <t>Suresh Iyer</t>
  </si>
  <si>
    <t>2024-02-20</t>
  </si>
  <si>
    <t>ORD024</t>
  </si>
  <si>
    <t>Rekha Pillai</t>
  </si>
  <si>
    <t>2024-02-15</t>
  </si>
  <si>
    <t>ORD025</t>
  </si>
  <si>
    <t>Vijay Das</t>
  </si>
  <si>
    <t>2024-02-17</t>
  </si>
  <si>
    <t>ORD026</t>
  </si>
  <si>
    <t>Kavitha Nair</t>
  </si>
  <si>
    <t>2024-02-19</t>
  </si>
  <si>
    <t>2024-02-24</t>
  </si>
  <si>
    <t>ORD027</t>
  </si>
  <si>
    <t>Manoj Patel</t>
  </si>
  <si>
    <t>2024-02-21</t>
  </si>
  <si>
    <t>2024-02-26</t>
  </si>
  <si>
    <t>ORD028</t>
  </si>
  <si>
    <t>Geeta Sharma</t>
  </si>
  <si>
    <t>2024-02-23</t>
  </si>
  <si>
    <t>2024-03-01</t>
  </si>
  <si>
    <t>ORD029</t>
  </si>
  <si>
    <t>Ravi Verma</t>
  </si>
  <si>
    <t>2024-02-25</t>
  </si>
  <si>
    <t>2024-02-28</t>
  </si>
  <si>
    <t>ORD030</t>
  </si>
  <si>
    <t>Sonal Mehta</t>
  </si>
  <si>
    <t>2024-02-27</t>
  </si>
  <si>
    <t>2024-03-04</t>
  </si>
  <si>
    <t>🛒 Excel Practice 4 — E-Commerce Orders Dataset  |  No hints (except Pivot Chart &amp; Slicer/Timeline)!</t>
  </si>
  <si>
    <t>Dataset: 30 orders | 18 columns | Work in Ecommerce Orders sheet. You know everything — go for it! 💪</t>
  </si>
  <si>
    <t>📁 SECTION 1 — Computed Columns</t>
  </si>
  <si>
    <t>1. 'GrossSales' = Quantity × UnitPrice</t>
  </si>
  <si>
    <t>☐ Done</t>
  </si>
  <si>
    <t>2. 'DiscountAmt' = GrossSales × Discount% / 100</t>
  </si>
  <si>
    <t>3. 'NetSales' = GrossSales − DiscountAmt</t>
  </si>
  <si>
    <t>4. 'ShipDays' = ShipDate − OrderDate</t>
  </si>
  <si>
    <t>5. 'AgeGroup' using IFS:
   Age &lt; 30 → 'Young'  |  Age &lt; 45 → 'Adult'  |  Age &lt; 60 → 'Senior'  |  else → 'Elderly'</t>
  </si>
  <si>
    <t>6. 'ShipSpeed' using IF:
   ShipDays ≤ 3 → 'Fast'  |  ShipDays ≤ 6 → 'Normal'  |  else → 'Slow'</t>
  </si>
  <si>
    <t>7. 'SalesTag' using IFS:
   NetSales &gt; 50000 → 'Platinum'  |  &gt; 20000 → 'Gold'  |  &gt; 5000 → 'Silver'  |  else → 'Bronze'</t>
  </si>
  <si>
    <t>8. 'RatingLabel' using IF:
   Rating ≥ 4.5 → 'Excellent'  |  ≥ 4.0 → 'Good'  |  ≥ 3.5 → 'Average'  |  else → 'Poor'</t>
  </si>
  <si>
    <t>9. 'ReturnFlag' using IF: ReturnStatus = 'Yes' → 1  else → 0
   (converting text to number — useful for counting returns)</t>
  </si>
  <si>
    <t>🔢 SECTION 2 — Aggregation</t>
  </si>
  <si>
    <t>10. Total NetSales of ALL orders using SUM</t>
  </si>
  <si>
    <t>11. Average UnitPrice using AVERAGE</t>
  </si>
  <si>
    <t>12. Count of returned orders (ReturnStatus = 'Yes') using COUNTIF</t>
  </si>
  <si>
    <t>13. Count of Female Premium customers using COUNTIFS</t>
  </si>
  <si>
    <t>14. Total NetSales for Electronics category using SUMIF</t>
  </si>
  <si>
    <t>15. Total NetSales where Category = Electronics AND ShipMode = Express using SUMIFS</t>
  </si>
  <si>
    <t>16. MAX NetSales and MIN NetSales</t>
  </si>
  <si>
    <t>17. MAXIFS — highest NetSales in Clothing category</t>
  </si>
  <si>
    <t>18. MINIFS — lowest UnitPrice in Electronics</t>
  </si>
  <si>
    <t>19. MEDIAN of NetSales</t>
  </si>
  <si>
    <t>20. STDEV.S of NetSales</t>
  </si>
  <si>
    <t>21. Q1 and Q3 of NetSales using QUARTILE</t>
  </si>
  <si>
    <t>22. MODE of Rating column</t>
  </si>
  <si>
    <t>📊 SECTION 3 — SUBTOTAL &amp; AGGREGATE</t>
  </si>
  <si>
    <t>23. SUBTOTAL(9,...) on NetSales → then filter Category = Books → observe change!</t>
  </si>
  <si>
    <t>24. SUBTOTAL(1,...) on Rating</t>
  </si>
  <si>
    <t>25. SUBTOTAL(4,...) MAX and SUBTOTAL(5,...) MIN on NetSales</t>
  </si>
  <si>
    <t>26. AGGREGATE(9,5,...) on NetSales ignoring errors</t>
  </si>
  <si>
    <t>27. AGGREGATE(1,7,...) on Rating ignoring hidden rows + errors</t>
  </si>
  <si>
    <t>🔎 SECTION 4 — Lookup &amp; Reference</t>
  </si>
  <si>
    <t>28. VLOOKUP — find NetSales of order ORD015</t>
  </si>
  <si>
    <t>29. XLOOKUP — find PaymentMode used by 'Meera Joshi'</t>
  </si>
  <si>
    <t>30. XLOOKUP — find CustomerName who gave the MINIMUM Rating
    (nest MIN inside XLOOKUP)</t>
  </si>
  <si>
    <t>31. XLOOKUP — find Category of the order with MAX NetSales</t>
  </si>
  <si>
    <t>📅 SECTION 5 — Date &amp; Text Functions</t>
  </si>
  <si>
    <t>32. Extract Month number from OrderDate using MONTH()</t>
  </si>
  <si>
    <t>33. Extract Year from OrderDate using YEAR()</t>
  </si>
  <si>
    <t>34. Display OrderDate as 'DD-MMM-YYYY' using TEXT()</t>
  </si>
  <si>
    <t>35. Combine CustomerName + City using &amp; operator
    e.g. → 'Aarav Sharma, Mumbai'</t>
  </si>
  <si>
    <t>36. UPPER() on CustomerName column</t>
  </si>
  <si>
    <t>37. LEN() on CustomerName — how many characters?</t>
  </si>
  <si>
    <t>38. Use RIGHT() to extract last 3 characters of OrderID</t>
  </si>
  <si>
    <t>39. TEXTJOIN — combine Category + SubCategory with ' &gt; ' separator
    e.g. → 'Electronics &gt; Mobile'</t>
  </si>
  <si>
    <t>🎨 SECTION 6 — Conditional Formatting</t>
  </si>
  <si>
    <t>40. Color Scale on NetSales (Green=high, Red=low)</t>
  </si>
  <si>
    <t>41. Data Bars on Rating column</t>
  </si>
  <si>
    <t>42. Highlight UnitPrice &gt; 40000 in RED bold</t>
  </si>
  <si>
    <t>43. Icon Sets (3 stars or flags) on Rating column</t>
  </si>
  <si>
    <t>44. Top 5 NetSales values highlighted in Gold/Yellow</t>
  </si>
  <si>
    <t>45. Formula rule — highlight entire row RED if ReturnStatus = 'Yes'
    Formula: =$O2="Yes"  applied to A2:Z31</t>
  </si>
  <si>
    <t>🔄 SECTION 7 — Pivot Tables + Pivot Chart + Slicer + Timeline</t>
  </si>
  <si>
    <t>46. Pivot 1 — Total NetSales by Category</t>
  </si>
  <si>
    <t>47. Pivot 2 — Count of Orders by State AND ShipMode (cross tab)</t>
  </si>
  <si>
    <t>48. Pivot 3 — Average Rating by CustomerSegment AND Category</t>
  </si>
  <si>
    <t>49. Pivot 4 — Total NetSales by AgeGroup AND PaymentMode</t>
  </si>
  <si>
    <t>50. On Pivot 1 — Insert a Pivot Chart (Bar/Column chart)
    💡 HINT: Click pivot → PivotTable Analyze tab → PivotChart → choose Column → OK
    Your chart will appear linked to the pivot table automatically!</t>
  </si>
  <si>
    <t>51. On Pivot 1 — Add a Slicer for Category field
    💡 HINT: Click pivot → PivotTable Analyze → Insert Slicer → tick Category → OK
    Click any button on the slicer to filter the pivot AND chart together!</t>
  </si>
  <si>
    <t>52. On Pivot 1 — Add a Timeline for OrderDate field
    💡 HINT: Click pivot → PivotTable Analyze → Insert Timeline → tick OrderDate → OK
    Drag the timeline handles to filter by month/quarter/year!
    ⚠️ Timeline only works if OrderDate column is formatted as DATE (not text)</t>
  </si>
  <si>
    <t>🏆 BONUS CHALLENGES</t>
  </si>
  <si>
    <t>53. UNIQUE — list all unique Categories</t>
  </si>
  <si>
    <t>54. SORT — sort CustomerName A to Z</t>
  </si>
  <si>
    <t>55. COUNTIFS — count orders where PaymentMode = UPI AND Category = Electronics</t>
  </si>
  <si>
    <t>56. SUMIFS — total NetSales where State = Maharashtra AND ShipMode = Express</t>
  </si>
  <si>
    <t>57. IQR = Q3 − Q1 of NetSales</t>
  </si>
  <si>
    <t>58. Create a Pivot showing % of total NetSales by Category
    (In Values → Value Field Settings → Show Values As → % of Grand Total)</t>
  </si>
  <si>
    <t>Gross Sales</t>
  </si>
  <si>
    <t>Disc Amount</t>
  </si>
  <si>
    <t>Net Sales</t>
  </si>
  <si>
    <t>Ship Days</t>
  </si>
  <si>
    <t>Age Group</t>
  </si>
  <si>
    <t>Shipspeed</t>
  </si>
  <si>
    <t>SalesTag</t>
  </si>
  <si>
    <t>Rating Level</t>
  </si>
  <si>
    <t>Return Flag</t>
  </si>
  <si>
    <t>Total Netsales</t>
  </si>
  <si>
    <t>AVG UnitPrice</t>
  </si>
  <si>
    <t>COUNT IF YES</t>
  </si>
  <si>
    <t>COUNT IF PREMIUM FEAMLE</t>
  </si>
  <si>
    <t>SUM IF EXPRESS AND ELECTRONICS</t>
  </si>
  <si>
    <t>Highest Sales in Clothing Category</t>
  </si>
  <si>
    <t>Lowest Sales in Electornics</t>
  </si>
  <si>
    <t>MEDIAN OF NETSALES</t>
  </si>
  <si>
    <t>STD OF NETSALES</t>
  </si>
  <si>
    <t>Q1 OF NETSALES</t>
  </si>
  <si>
    <t>Q2 OF NETSALES</t>
  </si>
  <si>
    <t xml:space="preserve">MODE OF RATING </t>
  </si>
  <si>
    <t>SUBTOTAL SUM</t>
  </si>
  <si>
    <t>SUBTOTAL avg RATING</t>
  </si>
  <si>
    <t>SUBTOTAL MAX NETSALES</t>
  </si>
  <si>
    <t xml:space="preserve">SUBTOTAL MIN NETSALES </t>
  </si>
  <si>
    <t>NETSALES</t>
  </si>
  <si>
    <t>RATING</t>
  </si>
  <si>
    <t>VLOOKUP</t>
  </si>
  <si>
    <t>XLOOKUP</t>
  </si>
  <si>
    <t xml:space="preserve">XLOOKUP </t>
  </si>
  <si>
    <t xml:space="preserve">Month </t>
  </si>
  <si>
    <t>YEAR</t>
  </si>
  <si>
    <t xml:space="preserve">DATE FORMAT </t>
  </si>
  <si>
    <t>NAME CITY</t>
  </si>
  <si>
    <t>NAME UPPERCASE</t>
  </si>
  <si>
    <t>LENGTH</t>
  </si>
  <si>
    <t xml:space="preserve">LAST  3 CHARACTER </t>
  </si>
  <si>
    <t>CATEGORY AND SUB CATEGORY</t>
  </si>
  <si>
    <t>Row Labels</t>
  </si>
  <si>
    <t>Grand Total</t>
  </si>
  <si>
    <t>Column Labels</t>
  </si>
  <si>
    <t>Sum of Net Sales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</si>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</sst>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i/>
      <sz val="10"/>
      <color rgb="FF004D40"/>
      <name val="Arial"/>
    </font>
    <font>
      <sz val="10"/>
      <color rgb="FF37474F"/>
      <name val="Arial"/>
    </font>
    <font>
      <sz val="11"/>
      <color rgb="FF9E9E9E"/>
      <name val="Arial"/>
    </font>
    <font>
      <sz val="10"/>
      <color rgb="FF004D40"/>
      <name val="Arial"/>
    </font>
    <font>
      <b/>
      <sz val="11"/>
      <color theme="1"/>
      <name val="Calibri"/>
      <family val="2"/>
      <scheme val="minor"/>
    </font>
    <font>
      <sz val="10"/>
      <color rgb="FF37474F"/>
      <name val="Arial"/>
      <family val="2"/>
    </font>
    <font>
      <b/>
      <sz val="11"/>
      <color rgb="FFFFFF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004D40"/>
        <bgColor rgb="FF004D40"/>
      </patternFill>
    </fill>
    <fill>
      <patternFill patternType="solid">
        <fgColor rgb="FFE0F2F1"/>
        <bgColor rgb="FFE0F2F1"/>
      </patternFill>
    </fill>
    <fill>
      <patternFill patternType="solid">
        <fgColor rgb="FFECEFF1"/>
        <bgColor rgb="FFECEFF1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8" fillId="9" borderId="2" xfId="0" applyFont="1" applyFill="1" applyBorder="1"/>
    <xf numFmtId="0" fontId="8" fillId="10" borderId="2" xfId="0" applyFont="1" applyFill="1" applyBorder="1"/>
    <xf numFmtId="1" fontId="8" fillId="10" borderId="2" xfId="0" applyNumberFormat="1" applyFont="1" applyFill="1" applyBorder="1"/>
    <xf numFmtId="0" fontId="8" fillId="11" borderId="2" xfId="0" applyFont="1" applyFill="1" applyBorder="1"/>
    <xf numFmtId="0" fontId="8" fillId="12" borderId="2" xfId="0" applyFont="1" applyFill="1" applyBorder="1"/>
    <xf numFmtId="0" fontId="9" fillId="7" borderId="1" xfId="0" applyFont="1" applyFill="1" applyBorder="1" applyAlignment="1">
      <alignment vertical="top" wrapText="1"/>
    </xf>
    <xf numFmtId="0" fontId="8" fillId="13" borderId="2" xfId="0" applyFont="1" applyFill="1" applyBorder="1"/>
    <xf numFmtId="0" fontId="8" fillId="14" borderId="2" xfId="0" applyFont="1" applyFill="1" applyBorder="1"/>
    <xf numFmtId="0" fontId="8" fillId="15" borderId="2" xfId="0" applyFont="1" applyFill="1" applyBorder="1"/>
    <xf numFmtId="0" fontId="8" fillId="16" borderId="2" xfId="0" applyFont="1" applyFill="1" applyBorder="1"/>
    <xf numFmtId="0" fontId="8" fillId="17" borderId="2" xfId="0" applyFont="1" applyFill="1" applyBorder="1"/>
    <xf numFmtId="0" fontId="8" fillId="18" borderId="2" xfId="0" applyFont="1" applyFill="1" applyBorder="1"/>
    <xf numFmtId="0" fontId="8" fillId="19" borderId="2" xfId="0" applyFont="1" applyFill="1" applyBorder="1"/>
    <xf numFmtId="0" fontId="8" fillId="20" borderId="2" xfId="0" applyFont="1" applyFill="1" applyBorder="1"/>
    <xf numFmtId="0" fontId="8" fillId="21" borderId="2" xfId="0" applyFont="1" applyFill="1" applyBorder="1"/>
    <xf numFmtId="0" fontId="8" fillId="22" borderId="2" xfId="0" applyFont="1" applyFill="1" applyBorder="1"/>
    <xf numFmtId="0" fontId="8" fillId="23" borderId="2" xfId="0" applyFont="1" applyFill="1" applyBorder="1"/>
    <xf numFmtId="0" fontId="8" fillId="24" borderId="2" xfId="0" applyFont="1" applyFill="1" applyBorder="1"/>
    <xf numFmtId="0" fontId="9" fillId="6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al behera" refreshedDate="46186.4597125" createdVersion="8" refreshedVersion="8" minRefreshableVersion="3" recordCount="30" xr:uid="{97AFCD66-C01B-4C82-B46B-56D0F1B7291C}">
  <cacheSource type="worksheet">
    <worksheetSource ref="A1:AI31" sheet="Ecommerce Orders"/>
  </cacheSource>
  <cacheFields count="35">
    <cacheField name="OrderID" numFmtId="0">
      <sharedItems/>
    </cacheField>
    <cacheField name="CustomerName" numFmtId="0">
      <sharedItems/>
    </cacheField>
    <cacheField name="Age" numFmtId="0">
      <sharedItems containsSemiMixedTypes="0" containsString="0" containsNumber="1" containsInteger="1" minValue="23" maxValue="61"/>
    </cacheField>
    <cacheField name="Gender" numFmtId="0">
      <sharedItems/>
    </cacheField>
    <cacheField name="City" numFmtId="0">
      <sharedItems/>
    </cacheField>
    <cacheField name="State" numFmtId="0">
      <sharedItems count="8">
        <s v="Maharashtra"/>
        <s v="Delhi"/>
        <s v="Karnataka"/>
        <s v="Tamil Nadu"/>
        <s v="Telangana"/>
        <s v="West Bengal"/>
        <s v="Rajasthan"/>
        <s v="Gujarat"/>
      </sharedItems>
    </cacheField>
    <cacheField name="Category" numFmtId="0">
      <sharedItems count="4">
        <s v="Electronics"/>
        <s v="Clothing"/>
        <s v="Home &amp; Kitchen"/>
        <s v="Books"/>
      </sharedItems>
    </cacheField>
    <cacheField name="SubCategory" numFmtId="0">
      <sharedItems/>
    </cacheField>
    <cacheField name="OrderDate" numFmtId="0">
      <sharedItems/>
    </cacheField>
    <cacheField name="ShipDate" numFmtId="0">
      <sharedItems/>
    </cacheField>
    <cacheField name="ShipMode" numFmtId="0">
      <sharedItems count="3">
        <s v="Express"/>
        <s v="Standard"/>
        <s v="Economy"/>
      </sharedItems>
    </cacheField>
    <cacheField name="Quantity" numFmtId="0">
      <sharedItems containsSemiMixedTypes="0" containsString="0" containsNumber="1" containsInteger="1" minValue="1" maxValue="6"/>
    </cacheField>
    <cacheField name="UnitPrice" numFmtId="0">
      <sharedItems containsSemiMixedTypes="0" containsString="0" containsNumber="1" containsInteger="1" minValue="420" maxValue="72000"/>
    </cacheField>
    <cacheField name="Discount%" numFmtId="0">
      <sharedItems containsSemiMixedTypes="0" containsString="0" containsNumber="1" containsInteger="1" minValue="0" maxValue="15"/>
    </cacheField>
    <cacheField name="ReturnStatus" numFmtId="0">
      <sharedItems/>
    </cacheField>
    <cacheField name="PaymentMode" numFmtId="0">
      <sharedItems/>
    </cacheField>
    <cacheField name="CustomerSegment" numFmtId="0">
      <sharedItems/>
    </cacheField>
    <cacheField name="Rating" numFmtId="0">
      <sharedItems containsSemiMixedTypes="0" containsString="0" containsNumber="1" minValue="3.2" maxValue="4.9000000000000004"/>
    </cacheField>
    <cacheField name="Gross Sales" numFmtId="0">
      <sharedItems containsSemiMixedTypes="0" containsString="0" containsNumber="1" containsInteger="1" minValue="1950" maxValue="72000"/>
    </cacheField>
    <cacheField name="Disc Amount" numFmtId="0">
      <sharedItems containsSemiMixedTypes="0" containsString="0" containsNumber="1" containsInteger="1" minValue="0" maxValue="2800"/>
    </cacheField>
    <cacheField name="Net Sales" numFmtId="0">
      <sharedItems containsSemiMixedTypes="0" containsString="0" containsNumber="1" containsInteger="1" minValue="1950" maxValue="72000" count="30">
        <n v="47500"/>
        <n v="4860"/>
        <n v="65000"/>
        <n v="8096"/>
        <n v="30400"/>
        <n v="4250"/>
        <n v="2250"/>
        <n v="16200"/>
        <n v="45000"/>
        <n v="5632"/>
        <n v="1950"/>
        <n v="16150"/>
        <n v="12420"/>
        <n v="7920"/>
        <n v="55000"/>
        <n v="3230"/>
        <n v="5130"/>
        <n v="5152"/>
        <n v="53200"/>
        <n v="5104"/>
        <n v="2520"/>
        <n v="72000"/>
        <n v="19800"/>
        <n v="5796"/>
        <n v="48000"/>
        <n v="2850"/>
        <n v="4140"/>
        <n v="19136"/>
        <n v="33250"/>
        <n v="8184"/>
      </sharedItems>
    </cacheField>
    <cacheField name="Ship Days" numFmtId="0">
      <sharedItems containsSemiMixedTypes="0" containsString="0" containsNumber="1" containsInteger="1" minValue="3" maxValue="7"/>
    </cacheField>
    <cacheField name="Age Group" numFmtId="0">
      <sharedItems/>
    </cacheField>
    <cacheField name="Shipspeed" numFmtId="0">
      <sharedItems/>
    </cacheField>
    <cacheField name="SalesTag" numFmtId="0">
      <sharedItems/>
    </cacheField>
    <cacheField name="Rating Level" numFmtId="0">
      <sharedItems/>
    </cacheField>
    <cacheField name="Return Flag" numFmtId="0">
      <sharedItems containsSemiMixedTypes="0" containsString="0" containsNumber="1" containsInteger="1" minValue="0" maxValue="1"/>
    </cacheField>
    <cacheField name="Month " numFmtId="0">
      <sharedItems containsSemiMixedTypes="0" containsString="0" containsNumber="1" containsInteger="1" minValue="1" maxValue="2"/>
    </cacheField>
    <cacheField name="YEAR" numFmtId="0">
      <sharedItems containsSemiMixedTypes="0" containsString="0" containsNumber="1" containsInteger="1" minValue="2024" maxValue="2024"/>
    </cacheField>
    <cacheField name="DATE FORMAT " numFmtId="0">
      <sharedItems/>
    </cacheField>
    <cacheField name="NAME CITY" numFmtId="0">
      <sharedItems/>
    </cacheField>
    <cacheField name="NAME UPPERCASE" numFmtId="0">
      <sharedItems/>
    </cacheField>
    <cacheField name="LENGTH" numFmtId="0">
      <sharedItems containsSemiMixedTypes="0" containsString="0" containsNumber="1" containsInteger="1" minValue="9" maxValue="13"/>
    </cacheField>
    <cacheField name="LAST  3 CHARACTER " numFmtId="0">
      <sharedItems/>
    </cacheField>
    <cacheField name="CATEGORY AND SUB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001"/>
    <s v="Aarav Sharma"/>
    <n v="28"/>
    <s v="Male"/>
    <s v="Mumbai"/>
    <x v="0"/>
    <x v="0"/>
    <s v="Mobile"/>
    <s v="2024-01-03"/>
    <s v="2024-01-06"/>
    <x v="0"/>
    <n v="2"/>
    <n v="25000"/>
    <n v="5"/>
    <s v="No"/>
    <s v="UPI"/>
    <s v="Regular"/>
    <n v="4.5"/>
    <n v="50000"/>
    <n v="2500"/>
    <x v="0"/>
    <n v="3"/>
    <s v="Adult"/>
    <s v="Speed"/>
    <s v="Gold"/>
    <s v="Excellent"/>
    <n v="0"/>
    <n v="1"/>
    <n v="2024"/>
    <s v="03-Jan-2024"/>
    <s v="Aarav Sharma,Mumbai"/>
    <s v="AARAV SHARMA"/>
    <n v="12"/>
    <s v="001"/>
    <s v="rma"/>
  </r>
  <r>
    <s v="ORD002"/>
    <s v="Priya Nair"/>
    <n v="34"/>
    <s v="Female"/>
    <s v="Delhi"/>
    <x v="1"/>
    <x v="1"/>
    <s v="Ethnic Wear"/>
    <s v="2024-01-05"/>
    <s v="2024-01-09"/>
    <x v="1"/>
    <n v="3"/>
    <n v="1800"/>
    <n v="10"/>
    <s v="No"/>
    <s v="Credit Card"/>
    <s v="Premium"/>
    <n v="3.8"/>
    <n v="5400"/>
    <n v="540"/>
    <x v="1"/>
    <n v="4"/>
    <s v="Adult"/>
    <s v="Normal"/>
    <s v="Bronze"/>
    <s v="Average"/>
    <n v="0"/>
    <n v="1"/>
    <n v="2024"/>
    <s v="05-Jan-2024"/>
    <s v="Priya Nair,Delhi"/>
    <s v="PRIYA NAIR"/>
    <n v="10"/>
    <s v="002"/>
    <s v="air"/>
  </r>
  <r>
    <s v="ORD003"/>
    <s v="Rohit Verma"/>
    <n v="45"/>
    <s v="Male"/>
    <s v="Bangalore"/>
    <x v="2"/>
    <x v="0"/>
    <s v="Laptop"/>
    <s v="2024-01-07"/>
    <s v="2024-01-10"/>
    <x v="0"/>
    <n v="1"/>
    <n v="65000"/>
    <n v="0"/>
    <s v="No"/>
    <s v="Debit Card"/>
    <s v="Regular"/>
    <n v="4.9000000000000004"/>
    <n v="65000"/>
    <n v="0"/>
    <x v="2"/>
    <n v="3"/>
    <s v="Senior"/>
    <s v="Speed"/>
    <s v="Platinuim"/>
    <s v="Excellent"/>
    <n v="1"/>
    <n v="1"/>
    <n v="2024"/>
    <s v="07-Jan-2024"/>
    <s v="Rohit Verma,Bangalore"/>
    <s v="ROHIT VERMA"/>
    <n v="11"/>
    <s v="003"/>
    <s v="rma"/>
  </r>
  <r>
    <s v="ORD004"/>
    <s v="Sneha Pillai"/>
    <n v="29"/>
    <s v="Female"/>
    <s v="Chennai"/>
    <x v="3"/>
    <x v="2"/>
    <s v="Cookware"/>
    <s v="2024-01-08"/>
    <s v="2024-01-14"/>
    <x v="1"/>
    <n v="4"/>
    <n v="2200"/>
    <n v="8"/>
    <s v="Yes"/>
    <s v="COD"/>
    <s v="Regular"/>
    <n v="3.5"/>
    <n v="8800"/>
    <n v="704"/>
    <x v="3"/>
    <n v="6"/>
    <s v="Adult"/>
    <s v="Normal"/>
    <s v="Silver"/>
    <s v="Average"/>
    <n v="0"/>
    <n v="1"/>
    <n v="2024"/>
    <s v="08-Jan-2024"/>
    <s v="Sneha Pillai,Chennai"/>
    <s v="SNEHA PILLAI"/>
    <n v="12"/>
    <s v="004"/>
    <s v="Home &amp; Kitchen&gt;Cookware"/>
  </r>
  <r>
    <s v="ORD005"/>
    <s v="Karan Patel"/>
    <n v="52"/>
    <s v="Male"/>
    <s v="Hyderabad"/>
    <x v="4"/>
    <x v="0"/>
    <s v="Tablet"/>
    <s v="2024-01-10"/>
    <s v="2024-01-13"/>
    <x v="0"/>
    <n v="1"/>
    <n v="32000"/>
    <n v="5"/>
    <s v="No"/>
    <s v="UPI"/>
    <s v="Premium"/>
    <n v="4.7"/>
    <n v="32000"/>
    <n v="1600"/>
    <x v="4"/>
    <n v="3"/>
    <s v="Senior"/>
    <s v="Speed"/>
    <s v="Gold"/>
    <s v="Excellent"/>
    <n v="0"/>
    <n v="1"/>
    <n v="2024"/>
    <s v="10-Jan-2024"/>
    <s v="Karan Patel,Hyderabad"/>
    <s v="KARAN PATEL"/>
    <n v="11"/>
    <s v="005"/>
    <s v="Electronics&gt;Tablet"/>
  </r>
  <r>
    <s v="ORD006"/>
    <s v="Divya Reddy"/>
    <n v="23"/>
    <s v="Female"/>
    <s v="Pune"/>
    <x v="0"/>
    <x v="1"/>
    <s v="Western Wear"/>
    <s v="2024-01-12"/>
    <s v="2024-01-17"/>
    <x v="1"/>
    <n v="2"/>
    <n v="2500"/>
    <n v="15"/>
    <s v="No"/>
    <s v="Credit Card"/>
    <s v="Regular"/>
    <n v="4.2"/>
    <n v="5000"/>
    <n v="750"/>
    <x v="5"/>
    <n v="5"/>
    <s v="Adult"/>
    <s v="Normal"/>
    <s v="Bronze"/>
    <s v="Good"/>
    <n v="0"/>
    <n v="1"/>
    <n v="2024"/>
    <s v="12-Jan-2024"/>
    <s v="Divya Reddy,Pune"/>
    <s v="DIVYA REDDY"/>
    <n v="11"/>
    <s v="006"/>
    <s v="Clothing&gt;Western Wear"/>
  </r>
  <r>
    <s v="ORD007"/>
    <s v="Arjun Das"/>
    <n v="38"/>
    <s v="Male"/>
    <s v="Kolkata"/>
    <x v="5"/>
    <x v="3"/>
    <s v="Fiction"/>
    <s v="2024-01-14"/>
    <s v="2024-01-18"/>
    <x v="2"/>
    <n v="5"/>
    <n v="450"/>
    <n v="0"/>
    <s v="No"/>
    <s v="UPI"/>
    <s v="Regular"/>
    <n v="4.5999999999999996"/>
    <n v="2250"/>
    <n v="0"/>
    <x v="6"/>
    <n v="4"/>
    <s v="Adult"/>
    <s v="Normal"/>
    <s v="Bronze"/>
    <s v="Excellent"/>
    <n v="1"/>
    <n v="1"/>
    <n v="2024"/>
    <s v="14-Jan-2024"/>
    <s v="Arjun Das,Kolkata"/>
    <s v="ARJUN DAS"/>
    <n v="9"/>
    <s v="007"/>
    <s v="Books&gt;Fiction"/>
  </r>
  <r>
    <s v="ORD008"/>
    <s v="Meera Joshi"/>
    <n v="41"/>
    <s v="Female"/>
    <s v="Jaipur"/>
    <x v="6"/>
    <x v="2"/>
    <s v="Furniture"/>
    <s v="2024-01-15"/>
    <s v="2024-01-22"/>
    <x v="1"/>
    <n v="1"/>
    <n v="18000"/>
    <n v="10"/>
    <s v="Yes"/>
    <s v="Credit Card"/>
    <s v="Premium"/>
    <n v="3.2"/>
    <n v="18000"/>
    <n v="1800"/>
    <x v="7"/>
    <n v="7"/>
    <s v="Adult"/>
    <s v="Late"/>
    <s v="Silver"/>
    <s v="Poor"/>
    <n v="0"/>
    <n v="1"/>
    <n v="2024"/>
    <s v="15-Jan-2024"/>
    <s v="Meera Joshi,Jaipur"/>
    <s v="MEERA JOSHI"/>
    <n v="11"/>
    <s v="008"/>
    <s v="Home &amp; Kitchen&gt;Furniture"/>
  </r>
  <r>
    <s v="ORD009"/>
    <s v="Vikram Shah"/>
    <n v="56"/>
    <s v="Male"/>
    <s v="Ahmedabad"/>
    <x v="7"/>
    <x v="0"/>
    <s v="Camera"/>
    <s v="2024-01-17"/>
    <s v="2024-01-20"/>
    <x v="0"/>
    <n v="1"/>
    <n v="45000"/>
    <n v="0"/>
    <s v="No"/>
    <s v="Debit Card"/>
    <s v="Premium"/>
    <n v="4.8"/>
    <n v="45000"/>
    <n v="0"/>
    <x v="8"/>
    <n v="3"/>
    <s v="Senior"/>
    <s v="Speed"/>
    <s v="Gold"/>
    <s v="Excellent"/>
    <n v="0"/>
    <n v="1"/>
    <n v="2024"/>
    <s v="17-Jan-2024"/>
    <s v="Vikram Shah,Ahmedabad"/>
    <s v="VIKRAM SHAH"/>
    <n v="11"/>
    <s v="009"/>
    <s v="Electronics&gt;Camera"/>
  </r>
  <r>
    <s v="ORD010"/>
    <s v="Ananya Kumar"/>
    <n v="31"/>
    <s v="Female"/>
    <s v="Mumbai"/>
    <x v="0"/>
    <x v="1"/>
    <s v="Footwear"/>
    <s v="2024-01-19"/>
    <s v="2024-01-24"/>
    <x v="1"/>
    <n v="2"/>
    <n v="3200"/>
    <n v="12"/>
    <s v="No"/>
    <s v="UPI"/>
    <s v="Regular"/>
    <n v="4.0999999999999996"/>
    <n v="6400"/>
    <n v="768"/>
    <x v="9"/>
    <n v="5"/>
    <s v="Adult"/>
    <s v="Normal"/>
    <s v="Silver"/>
    <s v="Good"/>
    <n v="0"/>
    <n v="1"/>
    <n v="2024"/>
    <s v="19-Jan-2024"/>
    <s v="Ananya Kumar,Mumbai"/>
    <s v="ANANYA KUMAR"/>
    <n v="12"/>
    <s v="010"/>
    <s v="Clothing&gt;Footwear"/>
  </r>
  <r>
    <s v="ORD011"/>
    <s v="Rahul Iyer"/>
    <n v="47"/>
    <s v="Male"/>
    <s v="Delhi"/>
    <x v="1"/>
    <x v="3"/>
    <s v="Non-Fiction"/>
    <s v="2024-01-21"/>
    <s v="2024-01-25"/>
    <x v="2"/>
    <n v="3"/>
    <n v="650"/>
    <n v="0"/>
    <s v="No"/>
    <s v="COD"/>
    <s v="Regular"/>
    <n v="4.3"/>
    <n v="1950"/>
    <n v="0"/>
    <x v="10"/>
    <n v="4"/>
    <s v="Senior"/>
    <s v="Normal"/>
    <s v="Bronze"/>
    <s v="Good"/>
    <n v="0"/>
    <n v="1"/>
    <n v="2024"/>
    <s v="21-Jan-2024"/>
    <s v="Rahul Iyer,Delhi"/>
    <s v="RAHUL IYER"/>
    <n v="10"/>
    <s v="011"/>
    <s v="Books&gt;Non-Fiction"/>
  </r>
  <r>
    <s v="ORD012"/>
    <s v="Pooja Mehta"/>
    <n v="36"/>
    <s v="Female"/>
    <s v="Bangalore"/>
    <x v="2"/>
    <x v="0"/>
    <s v="Headphones"/>
    <s v="2024-01-22"/>
    <s v="2024-01-25"/>
    <x v="0"/>
    <n v="2"/>
    <n v="8500"/>
    <n v="5"/>
    <s v="No"/>
    <s v="Credit Card"/>
    <s v="Regular"/>
    <n v="4.7"/>
    <n v="17000"/>
    <n v="850"/>
    <x v="11"/>
    <n v="3"/>
    <s v="Adult"/>
    <s v="Speed"/>
    <s v="Silver"/>
    <s v="Excellent"/>
    <n v="0"/>
    <n v="1"/>
    <n v="2024"/>
    <s v="22-Jan-2024"/>
    <s v="Pooja Mehta,Bangalore"/>
    <s v="POOJA MEHTA"/>
    <n v="11"/>
    <s v="012"/>
    <s v="Electronics&gt;Headphones"/>
  </r>
  <r>
    <s v="ORD013"/>
    <s v="Nikhil Rao"/>
    <n v="43"/>
    <s v="Male"/>
    <s v="Chennai"/>
    <x v="3"/>
    <x v="2"/>
    <s v="Bedding"/>
    <s v="2024-01-24"/>
    <s v="2024-01-30"/>
    <x v="1"/>
    <n v="3"/>
    <n v="4500"/>
    <n v="8"/>
    <s v="No"/>
    <s v="UPI"/>
    <s v="Regular"/>
    <n v="3.9"/>
    <n v="13500"/>
    <n v="1080"/>
    <x v="12"/>
    <n v="6"/>
    <s v="Adult"/>
    <s v="Normal"/>
    <s v="Silver"/>
    <s v="Average"/>
    <n v="1"/>
    <n v="1"/>
    <n v="2024"/>
    <s v="24-Jan-2024"/>
    <s v="Nikhil Rao,Chennai"/>
    <s v="NIKHIL RAO"/>
    <n v="10"/>
    <s v="013"/>
    <s v="Home &amp; Kitchen&gt;Bedding"/>
  </r>
  <r>
    <s v="ORD014"/>
    <s v="Kavya Singh"/>
    <n v="27"/>
    <s v="Female"/>
    <s v="Hyderabad"/>
    <x v="4"/>
    <x v="1"/>
    <s v="Ethnic Wear"/>
    <s v="2024-01-26"/>
    <s v="2024-01-31"/>
    <x v="1"/>
    <n v="4"/>
    <n v="2200"/>
    <n v="10"/>
    <s v="Yes"/>
    <s v="COD"/>
    <s v="Regular"/>
    <n v="3.6"/>
    <n v="8800"/>
    <n v="880"/>
    <x v="13"/>
    <n v="5"/>
    <s v="Adult"/>
    <s v="Normal"/>
    <s v="Silver"/>
    <s v="Average"/>
    <n v="0"/>
    <n v="1"/>
    <n v="2024"/>
    <s v="26-Jan-2024"/>
    <s v="Kavya Singh,Hyderabad"/>
    <s v="KAVYA SINGH"/>
    <n v="11"/>
    <s v="014"/>
    <s v="Clothing&gt;Ethnic Wear"/>
  </r>
  <r>
    <s v="ORD015"/>
    <s v="Siddharth Das"/>
    <n v="61"/>
    <s v="Male"/>
    <s v="Pune"/>
    <x v="0"/>
    <x v="0"/>
    <s v="Smart TV"/>
    <s v="2024-01-28"/>
    <s v="2024-02-01"/>
    <x v="0"/>
    <n v="1"/>
    <n v="55000"/>
    <n v="0"/>
    <s v="No"/>
    <s v="Debit Card"/>
    <s v="Premium"/>
    <n v="4.5"/>
    <n v="55000"/>
    <n v="0"/>
    <x v="14"/>
    <n v="4"/>
    <s v="old"/>
    <s v="Normal"/>
    <s v="Platinuim"/>
    <s v="Excellent"/>
    <n v="0"/>
    <n v="1"/>
    <n v="2024"/>
    <s v="28-Jan-2024"/>
    <s v="Siddharth Das,Pune"/>
    <s v="SIDDHARTH DAS"/>
    <n v="13"/>
    <s v="015"/>
    <s v="Electronics&gt;Smart TV"/>
  </r>
  <r>
    <s v="ORD016"/>
    <s v="Lakshmi Nair"/>
    <n v="39"/>
    <s v="Female"/>
    <s v="Kolkata"/>
    <x v="5"/>
    <x v="3"/>
    <s v="Academic"/>
    <s v="2024-01-30"/>
    <s v="2024-02-04"/>
    <x v="2"/>
    <n v="4"/>
    <n v="850"/>
    <n v="5"/>
    <s v="No"/>
    <s v="UPI"/>
    <s v="Regular"/>
    <n v="4"/>
    <n v="3400"/>
    <n v="170"/>
    <x v="15"/>
    <n v="5"/>
    <s v="Adult"/>
    <s v="Normal"/>
    <s v="Bronze"/>
    <s v="Good"/>
    <n v="0"/>
    <n v="1"/>
    <n v="2024"/>
    <s v="30-Jan-2024"/>
    <s v="Lakshmi Nair,Kolkata"/>
    <s v="LAKSHMI NAIR"/>
    <n v="12"/>
    <s v="016"/>
    <s v="Books&gt;Academic"/>
  </r>
  <r>
    <s v="ORD017"/>
    <s v="Aditya Patel"/>
    <n v="24"/>
    <s v="Male"/>
    <s v="Jaipur"/>
    <x v="6"/>
    <x v="1"/>
    <s v="Western Wear"/>
    <s v="2024-02-01"/>
    <s v="2024-02-06"/>
    <x v="1"/>
    <n v="3"/>
    <n v="1900"/>
    <n v="10"/>
    <s v="No"/>
    <s v="Credit Card"/>
    <s v="Regular"/>
    <n v="4.4000000000000004"/>
    <n v="5700"/>
    <n v="570"/>
    <x v="16"/>
    <n v="5"/>
    <s v="Adult"/>
    <s v="Normal"/>
    <s v="Silver"/>
    <s v="Good"/>
    <n v="1"/>
    <n v="2"/>
    <n v="2024"/>
    <s v="01-Feb-2024"/>
    <s v="Aditya Patel,Jaipur"/>
    <s v="ADITYA PATEL"/>
    <n v="12"/>
    <s v="017"/>
    <s v="Clothing&gt;Western Wear"/>
  </r>
  <r>
    <s v="ORD018"/>
    <s v="Nisha Verma"/>
    <n v="48"/>
    <s v="Female"/>
    <s v="Ahmedabad"/>
    <x v="7"/>
    <x v="2"/>
    <s v="Cookware"/>
    <s v="2024-02-03"/>
    <s v="2024-02-09"/>
    <x v="1"/>
    <n v="2"/>
    <n v="2800"/>
    <n v="8"/>
    <s v="Yes"/>
    <s v="COD"/>
    <s v="Regular"/>
    <n v="3.7"/>
    <n v="5600"/>
    <n v="448"/>
    <x v="17"/>
    <n v="6"/>
    <s v="Senior"/>
    <s v="Normal"/>
    <s v="Silver"/>
    <s v="Average"/>
    <n v="0"/>
    <n v="2"/>
    <n v="2024"/>
    <s v="03-Feb-2024"/>
    <s v="Nisha Verma,Ahmedabad"/>
    <s v="NISHA VERMA"/>
    <n v="11"/>
    <s v="018"/>
    <s v="Home &amp; Kitchen&gt;Cookware"/>
  </r>
  <r>
    <s v="ORD019"/>
    <s v="Rajesh Kumar"/>
    <n v="55"/>
    <s v="Male"/>
    <s v="Mumbai"/>
    <x v="0"/>
    <x v="0"/>
    <s v="Mobile"/>
    <s v="2024-02-05"/>
    <s v="2024-02-08"/>
    <x v="0"/>
    <n v="2"/>
    <n v="28000"/>
    <n v="5"/>
    <s v="No"/>
    <s v="UPI"/>
    <s v="Premium"/>
    <n v="4.5999999999999996"/>
    <n v="56000"/>
    <n v="2800"/>
    <x v="18"/>
    <n v="3"/>
    <s v="Senior"/>
    <s v="Speed"/>
    <s v="Platinuim"/>
    <s v="Excellent"/>
    <n v="0"/>
    <n v="2"/>
    <n v="2024"/>
    <s v="05-Feb-2024"/>
    <s v="Rajesh Kumar,Mumbai"/>
    <s v="RAJESH KUMAR"/>
    <n v="12"/>
    <s v="019"/>
    <s v="Electronics&gt;Mobile"/>
  </r>
  <r>
    <s v="ORD020"/>
    <s v="Sunita Shah"/>
    <n v="33"/>
    <s v="Female"/>
    <s v="Delhi"/>
    <x v="1"/>
    <x v="1"/>
    <s v="Footwear"/>
    <s v="2024-02-07"/>
    <s v="2024-02-12"/>
    <x v="1"/>
    <n v="2"/>
    <n v="2900"/>
    <n v="12"/>
    <s v="No"/>
    <s v="Debit Card"/>
    <s v="Regular"/>
    <n v="4.2"/>
    <n v="5800"/>
    <n v="696"/>
    <x v="19"/>
    <n v="5"/>
    <s v="Adult"/>
    <s v="Normal"/>
    <s v="Silver"/>
    <s v="Good"/>
    <n v="0"/>
    <n v="2"/>
    <n v="2024"/>
    <s v="07-Feb-2024"/>
    <s v="Sunita Shah,Delhi"/>
    <s v="SUNITA SHAH"/>
    <n v="11"/>
    <s v="020"/>
    <s v="Clothing&gt;Footwear"/>
  </r>
  <r>
    <s v="ORD021"/>
    <s v="Amit Sharma"/>
    <n v="44"/>
    <s v="Male"/>
    <s v="Bangalore"/>
    <x v="2"/>
    <x v="3"/>
    <s v="Fiction"/>
    <s v="2024-02-09"/>
    <s v="2024-02-13"/>
    <x v="2"/>
    <n v="6"/>
    <n v="420"/>
    <n v="0"/>
    <s v="No"/>
    <s v="UPI"/>
    <s v="Regular"/>
    <n v="4.8"/>
    <n v="2520"/>
    <n v="0"/>
    <x v="20"/>
    <n v="4"/>
    <s v="Adult"/>
    <s v="Normal"/>
    <s v="Bronze"/>
    <s v="Excellent"/>
    <n v="0"/>
    <n v="2"/>
    <n v="2024"/>
    <s v="09-Feb-2024"/>
    <s v="Amit Sharma,Bangalore"/>
    <s v="AMIT SHARMA"/>
    <n v="11"/>
    <s v="021"/>
    <s v="Books&gt;Fiction"/>
  </r>
  <r>
    <s v="ORD022"/>
    <s v="Deepa Rao"/>
    <n v="30"/>
    <s v="Female"/>
    <s v="Chennai"/>
    <x v="3"/>
    <x v="0"/>
    <s v="Laptop"/>
    <s v="2024-02-11"/>
    <s v="2024-02-14"/>
    <x v="0"/>
    <n v="1"/>
    <n v="72000"/>
    <n v="0"/>
    <s v="No"/>
    <s v="Credit Card"/>
    <s v="Premium"/>
    <n v="4.9000000000000004"/>
    <n v="72000"/>
    <n v="0"/>
    <x v="21"/>
    <n v="3"/>
    <s v="Adult"/>
    <s v="Speed"/>
    <s v="Platinuim"/>
    <s v="Excellent"/>
    <n v="0"/>
    <n v="2"/>
    <n v="2024"/>
    <s v="11-Feb-2024"/>
    <s v="Deepa Rao,Chennai"/>
    <s v="DEEPA RAO"/>
    <n v="9"/>
    <s v="022"/>
    <s v="Electronics&gt;Laptop"/>
  </r>
  <r>
    <s v="ORD023"/>
    <s v="Suresh Iyer"/>
    <n v="58"/>
    <s v="Male"/>
    <s v="Hyderabad"/>
    <x v="4"/>
    <x v="2"/>
    <s v="Furniture"/>
    <s v="2024-02-13"/>
    <s v="2024-02-20"/>
    <x v="1"/>
    <n v="1"/>
    <n v="22000"/>
    <n v="10"/>
    <s v="No"/>
    <s v="COD"/>
    <s v="Regular"/>
    <n v="3.8"/>
    <n v="22000"/>
    <n v="2200"/>
    <x v="22"/>
    <n v="7"/>
    <s v="Senior"/>
    <s v="Late"/>
    <s v="Silver"/>
    <s v="Average"/>
    <n v="1"/>
    <n v="2"/>
    <n v="2024"/>
    <s v="13-Feb-2024"/>
    <s v="Suresh Iyer,Hyderabad"/>
    <s v="SURESH IYER"/>
    <n v="11"/>
    <s v="023"/>
    <s v="Home &amp; Kitchen&gt;Furniture"/>
  </r>
  <r>
    <s v="ORD024"/>
    <s v="Rekha Pillai"/>
    <n v="42"/>
    <s v="Female"/>
    <s v="Pune"/>
    <x v="0"/>
    <x v="1"/>
    <s v="Ethnic Wear"/>
    <s v="2024-02-15"/>
    <s v="2024-02-20"/>
    <x v="1"/>
    <n v="3"/>
    <n v="2100"/>
    <n v="8"/>
    <s v="Yes"/>
    <s v="UPI"/>
    <s v="Regular"/>
    <n v="3.4"/>
    <n v="6300"/>
    <n v="504"/>
    <x v="23"/>
    <n v="5"/>
    <s v="Adult"/>
    <s v="Normal"/>
    <s v="Silver"/>
    <s v="Poor"/>
    <n v="0"/>
    <n v="2"/>
    <n v="2024"/>
    <s v="15-Feb-2024"/>
    <s v="Rekha Pillai,Pune"/>
    <s v="REKHA PILLAI"/>
    <n v="12"/>
    <s v="024"/>
    <s v="Clothing&gt;Ethnic Wear"/>
  </r>
  <r>
    <s v="ORD025"/>
    <s v="Vijay Das"/>
    <n v="50"/>
    <s v="Male"/>
    <s v="Kolkata"/>
    <x v="5"/>
    <x v="0"/>
    <s v="Camera"/>
    <s v="2024-02-17"/>
    <s v="2024-02-20"/>
    <x v="0"/>
    <n v="1"/>
    <n v="48000"/>
    <n v="0"/>
    <s v="No"/>
    <s v="Debit Card"/>
    <s v="Premium"/>
    <n v="4.7"/>
    <n v="48000"/>
    <n v="0"/>
    <x v="24"/>
    <n v="3"/>
    <s v="Senior"/>
    <s v="Speed"/>
    <s v="Gold"/>
    <s v="Excellent"/>
    <n v="0"/>
    <n v="2"/>
    <n v="2024"/>
    <s v="17-Feb-2024"/>
    <s v="Vijay Das,Kolkata"/>
    <s v="VIJAY DAS"/>
    <n v="9"/>
    <s v="025"/>
    <s v="Electronics&gt;Camera"/>
  </r>
  <r>
    <s v="ORD026"/>
    <s v="Kavitha Nair"/>
    <n v="26"/>
    <s v="Female"/>
    <s v="Jaipur"/>
    <x v="6"/>
    <x v="3"/>
    <s v="Non-Fiction"/>
    <s v="2024-02-19"/>
    <s v="2024-02-24"/>
    <x v="2"/>
    <n v="4"/>
    <n v="750"/>
    <n v="5"/>
    <s v="No"/>
    <s v="UPI"/>
    <s v="Regular"/>
    <n v="4.0999999999999996"/>
    <n v="3000"/>
    <n v="150"/>
    <x v="25"/>
    <n v="5"/>
    <s v="Adult"/>
    <s v="Normal"/>
    <s v="Bronze"/>
    <s v="Good"/>
    <n v="0"/>
    <n v="2"/>
    <n v="2024"/>
    <s v="19-Feb-2024"/>
    <s v="Kavitha Nair,Jaipur"/>
    <s v="KAVITHA NAIR"/>
    <n v="12"/>
    <s v="026"/>
    <s v="Books&gt;Non-Fiction"/>
  </r>
  <r>
    <s v="ORD027"/>
    <s v="Manoj Patel"/>
    <n v="37"/>
    <s v="Male"/>
    <s v="Ahmedabad"/>
    <x v="7"/>
    <x v="1"/>
    <s v="Western Wear"/>
    <s v="2024-02-21"/>
    <s v="2024-02-26"/>
    <x v="1"/>
    <n v="2"/>
    <n v="2300"/>
    <n v="10"/>
    <s v="No"/>
    <s v="Credit Card"/>
    <s v="Regular"/>
    <n v="4.3"/>
    <n v="4600"/>
    <n v="460"/>
    <x v="26"/>
    <n v="5"/>
    <s v="Adult"/>
    <s v="Normal"/>
    <s v="Bronze"/>
    <s v="Good"/>
    <n v="0"/>
    <n v="2"/>
    <n v="2024"/>
    <s v="21-Feb-2024"/>
    <s v="Manoj Patel,Ahmedabad"/>
    <s v="MANOJ PATEL"/>
    <n v="11"/>
    <s v="027"/>
    <s v="Clothing&gt;Western Wear"/>
  </r>
  <r>
    <s v="ORD028"/>
    <s v="Geeta Sharma"/>
    <n v="53"/>
    <s v="Female"/>
    <s v="Mumbai"/>
    <x v="0"/>
    <x v="2"/>
    <s v="Bedding"/>
    <s v="2024-02-23"/>
    <s v="2024-03-01"/>
    <x v="1"/>
    <n v="4"/>
    <n v="5200"/>
    <n v="8"/>
    <s v="No"/>
    <s v="UPI"/>
    <s v="Premium"/>
    <n v="4.5999999999999996"/>
    <n v="20800"/>
    <n v="1664"/>
    <x v="27"/>
    <n v="7"/>
    <s v="Senior"/>
    <s v="Late"/>
    <s v="Silver"/>
    <s v="Excellent"/>
    <n v="0"/>
    <n v="2"/>
    <n v="2024"/>
    <s v="23-Feb-2024"/>
    <s v="Geeta Sharma,Mumbai"/>
    <s v="GEETA SHARMA"/>
    <n v="12"/>
    <s v="028"/>
    <s v="Home &amp; Kitchen&gt;Bedding"/>
  </r>
  <r>
    <s v="ORD029"/>
    <s v="Ravi Verma"/>
    <n v="32"/>
    <s v="Male"/>
    <s v="Delhi"/>
    <x v="1"/>
    <x v="0"/>
    <s v="Tablet"/>
    <s v="2024-02-25"/>
    <s v="2024-02-28"/>
    <x v="0"/>
    <n v="1"/>
    <n v="35000"/>
    <n v="5"/>
    <s v="No"/>
    <s v="Debit Card"/>
    <s v="Regular"/>
    <n v="4.5"/>
    <n v="35000"/>
    <n v="1750"/>
    <x v="28"/>
    <n v="3"/>
    <s v="Adult"/>
    <s v="Speed"/>
    <s v="Gold"/>
    <s v="Excellent"/>
    <n v="1"/>
    <n v="2"/>
    <n v="2024"/>
    <s v="25-Feb-2024"/>
    <s v="Ravi Verma,Delhi"/>
    <s v="RAVI VERMA"/>
    <n v="10"/>
    <s v="029"/>
    <s v="Electronics&gt;Tablet"/>
  </r>
  <r>
    <s v="ORD030"/>
    <s v="Sonal Mehta"/>
    <n v="46"/>
    <s v="Female"/>
    <s v="Bangalore"/>
    <x v="2"/>
    <x v="1"/>
    <s v="Footwear"/>
    <s v="2024-02-27"/>
    <s v="2024-03-04"/>
    <x v="1"/>
    <n v="3"/>
    <n v="3100"/>
    <n v="12"/>
    <s v="Yes"/>
    <s v="COD"/>
    <s v="Regular"/>
    <n v="3.6"/>
    <n v="9300"/>
    <n v="1116"/>
    <x v="29"/>
    <n v="6"/>
    <s v="Senior"/>
    <s v="Normal"/>
    <s v="Silver"/>
    <s v="Average"/>
    <n v="0"/>
    <n v="2"/>
    <n v="2024"/>
    <s v="27-Feb-2024"/>
    <s v="Sonal Mehta,Bangalore"/>
    <s v="SONAL MEHTA"/>
    <n v="11"/>
    <s v="030"/>
    <s v="Clothing&gt;Footwe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C364B-69EA-47B9-AD30-A48699BBCCF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1">
        <item x="10"/>
        <item x="6"/>
        <item x="20"/>
        <item x="25"/>
        <item x="15"/>
        <item x="26"/>
        <item x="5"/>
        <item x="1"/>
        <item x="19"/>
        <item x="16"/>
        <item x="17"/>
        <item x="9"/>
        <item x="23"/>
        <item x="13"/>
        <item x="3"/>
        <item x="29"/>
        <item x="12"/>
        <item x="11"/>
        <item x="7"/>
        <item x="27"/>
        <item x="22"/>
        <item x="4"/>
        <item x="28"/>
        <item x="8"/>
        <item x="0"/>
        <item x="24"/>
        <item x="18"/>
        <item x="14"/>
        <item x="2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425AA-2385-40C0-845C-0EECBB193BB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1" firstDataRow="2" firstDataCol="1"/>
  <pivotFields count="35">
    <pivotField dataField="1" showAll="0"/>
    <pivotField showAll="0"/>
    <pivotField showAll="0"/>
    <pivotField showAll="0"/>
    <pivotField showAll="0"/>
    <pivotField axis="axisRow" showAll="0">
      <items count="9">
        <item x="1"/>
        <item x="7"/>
        <item x="2"/>
        <item x="0"/>
        <item x="6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workbookViewId="0">
      <pane ySplit="2" topLeftCell="A54" activePane="bottomLeft" state="frozen"/>
      <selection pane="bottomLeft" activeCell="A57" sqref="A57"/>
    </sheetView>
  </sheetViews>
  <sheetFormatPr defaultRowHeight="14.4" x14ac:dyDescent="0.3"/>
  <cols>
    <col min="1" max="1" width="72" customWidth="1"/>
    <col min="2" max="2" width="10" customWidth="1"/>
  </cols>
  <sheetData>
    <row r="1" spans="1:3" ht="30" customHeight="1" x14ac:dyDescent="0.3">
      <c r="A1" s="31" t="s">
        <v>174</v>
      </c>
      <c r="B1" s="29"/>
      <c r="C1" s="29"/>
    </row>
    <row r="2" spans="1:3" ht="18" customHeight="1" x14ac:dyDescent="0.3">
      <c r="A2" s="30" t="s">
        <v>175</v>
      </c>
      <c r="B2" s="29"/>
      <c r="C2" s="29"/>
    </row>
    <row r="3" spans="1:3" ht="22.05" customHeight="1" x14ac:dyDescent="0.3">
      <c r="A3" s="28" t="s">
        <v>176</v>
      </c>
      <c r="B3" s="29"/>
      <c r="C3" s="29"/>
    </row>
    <row r="4" spans="1:3" ht="22.05" customHeight="1" x14ac:dyDescent="0.3">
      <c r="A4" s="4" t="s">
        <v>177</v>
      </c>
      <c r="B4" s="5" t="s">
        <v>178</v>
      </c>
    </row>
    <row r="5" spans="1:3" ht="22.05" customHeight="1" x14ac:dyDescent="0.3">
      <c r="A5" s="6" t="s">
        <v>179</v>
      </c>
      <c r="B5" s="5" t="s">
        <v>178</v>
      </c>
    </row>
    <row r="6" spans="1:3" ht="22.05" customHeight="1" x14ac:dyDescent="0.3">
      <c r="A6" s="4" t="s">
        <v>180</v>
      </c>
      <c r="B6" s="5" t="s">
        <v>178</v>
      </c>
    </row>
    <row r="7" spans="1:3" ht="22.05" customHeight="1" x14ac:dyDescent="0.3">
      <c r="A7" s="6" t="s">
        <v>181</v>
      </c>
      <c r="B7" s="5" t="s">
        <v>178</v>
      </c>
    </row>
    <row r="8" spans="1:3" ht="31.95" customHeight="1" x14ac:dyDescent="0.3">
      <c r="A8" s="4" t="s">
        <v>182</v>
      </c>
      <c r="B8" s="5" t="s">
        <v>178</v>
      </c>
    </row>
    <row r="9" spans="1:3" ht="31.95" customHeight="1" x14ac:dyDescent="0.3">
      <c r="A9" s="6" t="s">
        <v>183</v>
      </c>
      <c r="B9" s="5" t="s">
        <v>178</v>
      </c>
    </row>
    <row r="10" spans="1:3" ht="31.95" customHeight="1" x14ac:dyDescent="0.3">
      <c r="A10" s="4" t="s">
        <v>184</v>
      </c>
      <c r="B10" s="5" t="s">
        <v>178</v>
      </c>
    </row>
    <row r="11" spans="1:3" ht="31.95" customHeight="1" x14ac:dyDescent="0.3">
      <c r="A11" s="6" t="s">
        <v>185</v>
      </c>
      <c r="B11" s="5" t="s">
        <v>178</v>
      </c>
    </row>
    <row r="12" spans="1:3" ht="31.95" customHeight="1" x14ac:dyDescent="0.3">
      <c r="A12" s="4" t="s">
        <v>186</v>
      </c>
      <c r="B12" s="5" t="s">
        <v>178</v>
      </c>
    </row>
    <row r="13" spans="1:3" ht="22.05" customHeight="1" x14ac:dyDescent="0.3">
      <c r="A13" s="28" t="s">
        <v>187</v>
      </c>
      <c r="B13" s="29"/>
      <c r="C13" s="29"/>
    </row>
    <row r="14" spans="1:3" ht="22.05" customHeight="1" x14ac:dyDescent="0.3">
      <c r="A14" s="4" t="s">
        <v>188</v>
      </c>
      <c r="B14" s="5" t="s">
        <v>178</v>
      </c>
    </row>
    <row r="15" spans="1:3" ht="22.05" customHeight="1" x14ac:dyDescent="0.3">
      <c r="A15" s="6" t="s">
        <v>189</v>
      </c>
      <c r="B15" s="5" t="s">
        <v>178</v>
      </c>
    </row>
    <row r="16" spans="1:3" ht="22.05" customHeight="1" x14ac:dyDescent="0.3">
      <c r="A16" s="4" t="s">
        <v>190</v>
      </c>
      <c r="B16" s="5" t="s">
        <v>178</v>
      </c>
    </row>
    <row r="17" spans="1:3" ht="22.05" customHeight="1" x14ac:dyDescent="0.3">
      <c r="A17" s="6" t="s">
        <v>191</v>
      </c>
      <c r="B17" s="5" t="s">
        <v>178</v>
      </c>
    </row>
    <row r="18" spans="1:3" ht="22.05" customHeight="1" x14ac:dyDescent="0.3">
      <c r="A18" s="4" t="s">
        <v>192</v>
      </c>
      <c r="B18" s="5" t="s">
        <v>178</v>
      </c>
    </row>
    <row r="19" spans="1:3" ht="22.05" customHeight="1" x14ac:dyDescent="0.3">
      <c r="A19" s="13" t="s">
        <v>193</v>
      </c>
      <c r="B19" s="5" t="s">
        <v>178</v>
      </c>
    </row>
    <row r="20" spans="1:3" ht="22.05" customHeight="1" x14ac:dyDescent="0.3">
      <c r="A20" s="4" t="s">
        <v>194</v>
      </c>
      <c r="B20" s="5" t="s">
        <v>178</v>
      </c>
    </row>
    <row r="21" spans="1:3" ht="22.05" customHeight="1" x14ac:dyDescent="0.3">
      <c r="A21" s="6" t="s">
        <v>195</v>
      </c>
      <c r="B21" s="5" t="s">
        <v>178</v>
      </c>
    </row>
    <row r="22" spans="1:3" ht="22.05" customHeight="1" x14ac:dyDescent="0.3">
      <c r="A22" s="4" t="s">
        <v>196</v>
      </c>
      <c r="B22" s="5" t="s">
        <v>178</v>
      </c>
    </row>
    <row r="23" spans="1:3" ht="22.05" customHeight="1" x14ac:dyDescent="0.3">
      <c r="A23" s="6" t="s">
        <v>197</v>
      </c>
      <c r="B23" s="5" t="s">
        <v>178</v>
      </c>
    </row>
    <row r="24" spans="1:3" ht="22.05" customHeight="1" x14ac:dyDescent="0.3">
      <c r="A24" s="4" t="s">
        <v>198</v>
      </c>
      <c r="B24" s="5" t="s">
        <v>178</v>
      </c>
    </row>
    <row r="25" spans="1:3" ht="22.05" customHeight="1" x14ac:dyDescent="0.3">
      <c r="A25" s="6" t="s">
        <v>199</v>
      </c>
      <c r="B25" s="5" t="s">
        <v>178</v>
      </c>
    </row>
    <row r="26" spans="1:3" ht="22.05" customHeight="1" x14ac:dyDescent="0.3">
      <c r="A26" s="4" t="s">
        <v>200</v>
      </c>
      <c r="B26" s="5" t="s">
        <v>178</v>
      </c>
    </row>
    <row r="27" spans="1:3" ht="22.05" customHeight="1" x14ac:dyDescent="0.3">
      <c r="A27" s="28" t="s">
        <v>201</v>
      </c>
      <c r="B27" s="29"/>
      <c r="C27" s="29"/>
    </row>
    <row r="28" spans="1:3" ht="22.05" customHeight="1" x14ac:dyDescent="0.3">
      <c r="A28" s="4" t="s">
        <v>202</v>
      </c>
      <c r="B28" s="5" t="s">
        <v>178</v>
      </c>
    </row>
    <row r="29" spans="1:3" ht="22.05" customHeight="1" x14ac:dyDescent="0.3">
      <c r="A29" s="6" t="s">
        <v>203</v>
      </c>
      <c r="B29" s="5" t="s">
        <v>178</v>
      </c>
    </row>
    <row r="30" spans="1:3" ht="22.05" customHeight="1" x14ac:dyDescent="0.3">
      <c r="A30" s="4" t="s">
        <v>204</v>
      </c>
      <c r="B30" s="5" t="s">
        <v>178</v>
      </c>
    </row>
    <row r="31" spans="1:3" ht="22.05" customHeight="1" x14ac:dyDescent="0.3">
      <c r="A31" s="6" t="s">
        <v>205</v>
      </c>
      <c r="B31" s="5" t="s">
        <v>178</v>
      </c>
    </row>
    <row r="32" spans="1:3" ht="22.05" customHeight="1" x14ac:dyDescent="0.3">
      <c r="A32" s="4" t="s">
        <v>206</v>
      </c>
      <c r="B32" s="5" t="s">
        <v>178</v>
      </c>
    </row>
    <row r="33" spans="1:3" ht="22.05" customHeight="1" x14ac:dyDescent="0.3">
      <c r="A33" s="28" t="s">
        <v>207</v>
      </c>
      <c r="B33" s="29"/>
      <c r="C33" s="29"/>
    </row>
    <row r="34" spans="1:3" ht="22.05" customHeight="1" x14ac:dyDescent="0.3">
      <c r="A34" s="4" t="s">
        <v>208</v>
      </c>
      <c r="B34" s="5" t="s">
        <v>178</v>
      </c>
    </row>
    <row r="35" spans="1:3" ht="22.05" customHeight="1" x14ac:dyDescent="0.3">
      <c r="A35" s="6" t="s">
        <v>209</v>
      </c>
      <c r="B35" s="5" t="s">
        <v>178</v>
      </c>
    </row>
    <row r="36" spans="1:3" ht="31.95" customHeight="1" x14ac:dyDescent="0.3">
      <c r="A36" s="26" t="s">
        <v>210</v>
      </c>
      <c r="B36" s="5" t="s">
        <v>178</v>
      </c>
    </row>
    <row r="37" spans="1:3" ht="22.05" customHeight="1" x14ac:dyDescent="0.3">
      <c r="A37" s="6" t="s">
        <v>211</v>
      </c>
      <c r="B37" s="5" t="s">
        <v>178</v>
      </c>
    </row>
    <row r="38" spans="1:3" ht="22.05" customHeight="1" x14ac:dyDescent="0.3">
      <c r="A38" s="28" t="s">
        <v>212</v>
      </c>
      <c r="B38" s="29"/>
      <c r="C38" s="29"/>
    </row>
    <row r="39" spans="1:3" ht="22.05" customHeight="1" x14ac:dyDescent="0.3">
      <c r="A39" s="6" t="s">
        <v>213</v>
      </c>
      <c r="B39" s="5" t="s">
        <v>178</v>
      </c>
    </row>
    <row r="40" spans="1:3" ht="22.05" customHeight="1" x14ac:dyDescent="0.3">
      <c r="A40" s="4" t="s">
        <v>214</v>
      </c>
      <c r="B40" s="5" t="s">
        <v>178</v>
      </c>
    </row>
    <row r="41" spans="1:3" ht="22.05" customHeight="1" x14ac:dyDescent="0.3">
      <c r="A41" s="13" t="s">
        <v>215</v>
      </c>
      <c r="B41" s="5" t="s">
        <v>178</v>
      </c>
    </row>
    <row r="42" spans="1:3" ht="31.95" customHeight="1" x14ac:dyDescent="0.3">
      <c r="A42" s="4" t="s">
        <v>216</v>
      </c>
      <c r="B42" s="5" t="s">
        <v>178</v>
      </c>
    </row>
    <row r="43" spans="1:3" ht="22.05" customHeight="1" x14ac:dyDescent="0.3">
      <c r="A43" s="6" t="s">
        <v>217</v>
      </c>
      <c r="B43" s="5" t="s">
        <v>178</v>
      </c>
    </row>
    <row r="44" spans="1:3" ht="22.05" customHeight="1" x14ac:dyDescent="0.3">
      <c r="A44" s="4" t="s">
        <v>218</v>
      </c>
      <c r="B44" s="5" t="s">
        <v>178</v>
      </c>
    </row>
    <row r="45" spans="1:3" ht="22.05" customHeight="1" x14ac:dyDescent="0.3">
      <c r="A45" s="6" t="s">
        <v>219</v>
      </c>
      <c r="B45" s="5" t="s">
        <v>178</v>
      </c>
    </row>
    <row r="46" spans="1:3" ht="31.95" customHeight="1" x14ac:dyDescent="0.3">
      <c r="A46" s="4" t="s">
        <v>220</v>
      </c>
      <c r="B46" s="5" t="s">
        <v>178</v>
      </c>
    </row>
    <row r="47" spans="1:3" ht="22.05" customHeight="1" x14ac:dyDescent="0.3">
      <c r="A47" s="28" t="s">
        <v>221</v>
      </c>
      <c r="B47" s="29"/>
      <c r="C47" s="29"/>
    </row>
    <row r="48" spans="1:3" ht="22.05" customHeight="1" x14ac:dyDescent="0.3">
      <c r="A48" s="4" t="s">
        <v>222</v>
      </c>
      <c r="B48" s="5" t="s">
        <v>178</v>
      </c>
    </row>
    <row r="49" spans="1:3" ht="22.05" customHeight="1" x14ac:dyDescent="0.3">
      <c r="A49" s="6" t="s">
        <v>223</v>
      </c>
      <c r="B49" s="5" t="s">
        <v>178</v>
      </c>
    </row>
    <row r="50" spans="1:3" ht="22.05" customHeight="1" x14ac:dyDescent="0.3">
      <c r="A50" s="4" t="s">
        <v>224</v>
      </c>
      <c r="B50" s="5" t="s">
        <v>178</v>
      </c>
    </row>
    <row r="51" spans="1:3" ht="22.05" customHeight="1" x14ac:dyDescent="0.3">
      <c r="A51" s="6" t="s">
        <v>225</v>
      </c>
      <c r="B51" s="5" t="s">
        <v>178</v>
      </c>
    </row>
    <row r="52" spans="1:3" ht="22.05" customHeight="1" x14ac:dyDescent="0.3">
      <c r="A52" s="4" t="s">
        <v>226</v>
      </c>
      <c r="B52" s="5" t="s">
        <v>178</v>
      </c>
    </row>
    <row r="53" spans="1:3" ht="31.95" customHeight="1" x14ac:dyDescent="0.3">
      <c r="A53" s="6" t="s">
        <v>227</v>
      </c>
      <c r="B53" s="5" t="s">
        <v>178</v>
      </c>
    </row>
    <row r="54" spans="1:3" ht="22.05" customHeight="1" x14ac:dyDescent="0.3">
      <c r="A54" s="28" t="s">
        <v>228</v>
      </c>
      <c r="B54" s="29"/>
      <c r="C54" s="29"/>
    </row>
    <row r="55" spans="1:3" ht="22.05" customHeight="1" x14ac:dyDescent="0.3">
      <c r="A55" s="6" t="s">
        <v>229</v>
      </c>
      <c r="B55" s="5" t="s">
        <v>178</v>
      </c>
    </row>
    <row r="56" spans="1:3" ht="22.05" customHeight="1" x14ac:dyDescent="0.3">
      <c r="A56" s="4" t="s">
        <v>230</v>
      </c>
      <c r="B56" s="5" t="s">
        <v>178</v>
      </c>
    </row>
    <row r="57" spans="1:3" ht="22.05" customHeight="1" x14ac:dyDescent="0.3">
      <c r="A57" s="6" t="s">
        <v>231</v>
      </c>
      <c r="B57" s="5" t="s">
        <v>178</v>
      </c>
    </row>
    <row r="58" spans="1:3" ht="22.05" customHeight="1" x14ac:dyDescent="0.3">
      <c r="A58" s="4" t="s">
        <v>232</v>
      </c>
      <c r="B58" s="5" t="s">
        <v>178</v>
      </c>
    </row>
    <row r="59" spans="1:3" ht="48" customHeight="1" x14ac:dyDescent="0.3">
      <c r="A59" s="7" t="s">
        <v>233</v>
      </c>
      <c r="B59" s="5" t="s">
        <v>178</v>
      </c>
    </row>
    <row r="60" spans="1:3" ht="48" customHeight="1" x14ac:dyDescent="0.3">
      <c r="A60" s="7" t="s">
        <v>234</v>
      </c>
      <c r="B60" s="5" t="s">
        <v>178</v>
      </c>
    </row>
    <row r="61" spans="1:3" ht="64.05" customHeight="1" x14ac:dyDescent="0.3">
      <c r="A61" s="7" t="s">
        <v>235</v>
      </c>
      <c r="B61" s="5" t="s">
        <v>178</v>
      </c>
    </row>
    <row r="62" spans="1:3" ht="22.05" customHeight="1" x14ac:dyDescent="0.3">
      <c r="A62" s="28" t="s">
        <v>236</v>
      </c>
      <c r="B62" s="29"/>
      <c r="C62" s="29"/>
    </row>
    <row r="63" spans="1:3" ht="22.05" customHeight="1" x14ac:dyDescent="0.3">
      <c r="A63" s="6" t="s">
        <v>237</v>
      </c>
      <c r="B63" s="5" t="s">
        <v>178</v>
      </c>
    </row>
    <row r="64" spans="1:3" ht="22.05" customHeight="1" x14ac:dyDescent="0.3">
      <c r="A64" s="4" t="s">
        <v>238</v>
      </c>
      <c r="B64" s="5" t="s">
        <v>178</v>
      </c>
    </row>
    <row r="65" spans="1:2" ht="22.05" customHeight="1" x14ac:dyDescent="0.3">
      <c r="A65" s="6" t="s">
        <v>239</v>
      </c>
      <c r="B65" s="5" t="s">
        <v>178</v>
      </c>
    </row>
    <row r="66" spans="1:2" ht="22.05" customHeight="1" x14ac:dyDescent="0.3">
      <c r="A66" s="4" t="s">
        <v>240</v>
      </c>
      <c r="B66" s="5" t="s">
        <v>178</v>
      </c>
    </row>
    <row r="67" spans="1:2" ht="22.05" customHeight="1" x14ac:dyDescent="0.3">
      <c r="A67" s="6" t="s">
        <v>241</v>
      </c>
      <c r="B67" s="5" t="s">
        <v>178</v>
      </c>
    </row>
    <row r="68" spans="1:2" ht="31.95" customHeight="1" x14ac:dyDescent="0.3">
      <c r="A68" s="4" t="s">
        <v>242</v>
      </c>
      <c r="B68" s="5" t="s">
        <v>178</v>
      </c>
    </row>
  </sheetData>
  <mergeCells count="10">
    <mergeCell ref="A1:C1"/>
    <mergeCell ref="A27:C27"/>
    <mergeCell ref="A62:C62"/>
    <mergeCell ref="A3:C3"/>
    <mergeCell ref="A54:C54"/>
    <mergeCell ref="A38:C38"/>
    <mergeCell ref="A2:C2"/>
    <mergeCell ref="A13:C13"/>
    <mergeCell ref="A33:C33"/>
    <mergeCell ref="A47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6DF8-3B78-45BB-8C23-6EEC21E2B702}">
  <dimension ref="A3:F5"/>
  <sheetViews>
    <sheetView workbookViewId="0">
      <selection activeCell="C11" sqref="C11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8" bestFit="1" customWidth="1"/>
    <col min="4" max="4" width="10" bestFit="1" customWidth="1"/>
    <col min="5" max="5" width="14.77734375" bestFit="1" customWidth="1"/>
    <col min="6" max="6" width="10.77734375" bestFit="1" customWidth="1"/>
  </cols>
  <sheetData>
    <row r="3" spans="1:6" x14ac:dyDescent="0.3">
      <c r="B3" s="32" t="s">
        <v>283</v>
      </c>
    </row>
    <row r="4" spans="1:6" x14ac:dyDescent="0.3">
      <c r="B4" t="s">
        <v>76</v>
      </c>
      <c r="C4" t="s">
        <v>35</v>
      </c>
      <c r="D4" t="s">
        <v>23</v>
      </c>
      <c r="E4" t="s">
        <v>54</v>
      </c>
      <c r="F4" t="s">
        <v>282</v>
      </c>
    </row>
    <row r="5" spans="1:6" x14ac:dyDescent="0.3">
      <c r="A5" t="s">
        <v>284</v>
      </c>
      <c r="B5" s="34">
        <v>12800</v>
      </c>
      <c r="C5" s="34">
        <v>51016</v>
      </c>
      <c r="D5" s="34">
        <v>465500</v>
      </c>
      <c r="E5" s="34">
        <v>80804</v>
      </c>
      <c r="F5" s="34">
        <v>610120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74EA-B625-44CC-9714-D74654719E2C}">
  <dimension ref="A3:E13"/>
  <sheetViews>
    <sheetView tabSelected="1" workbookViewId="0">
      <selection activeCell="A3" sqref="A3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7.21875" bestFit="1" customWidth="1"/>
    <col min="4" max="4" width="8.6640625" bestFit="1" customWidth="1"/>
    <col min="5" max="5" width="10.77734375" bestFit="1" customWidth="1"/>
  </cols>
  <sheetData>
    <row r="3" spans="1:5" x14ac:dyDescent="0.3">
      <c r="A3" s="32" t="s">
        <v>285</v>
      </c>
      <c r="B3" s="32" t="s">
        <v>283</v>
      </c>
    </row>
    <row r="4" spans="1:5" x14ac:dyDescent="0.3">
      <c r="A4" s="32" t="s">
        <v>281</v>
      </c>
      <c r="B4" t="s">
        <v>79</v>
      </c>
      <c r="C4" t="s">
        <v>27</v>
      </c>
      <c r="D4" t="s">
        <v>39</v>
      </c>
      <c r="E4" t="s">
        <v>282</v>
      </c>
    </row>
    <row r="5" spans="1:5" x14ac:dyDescent="0.3">
      <c r="A5" s="33" t="s">
        <v>34</v>
      </c>
      <c r="B5" s="34">
        <v>1</v>
      </c>
      <c r="C5" s="34">
        <v>1</v>
      </c>
      <c r="D5" s="34">
        <v>2</v>
      </c>
      <c r="E5" s="34">
        <v>4</v>
      </c>
    </row>
    <row r="6" spans="1:5" x14ac:dyDescent="0.3">
      <c r="A6" s="33" t="s">
        <v>90</v>
      </c>
      <c r="B6" s="34"/>
      <c r="C6" s="34">
        <v>1</v>
      </c>
      <c r="D6" s="34">
        <v>2</v>
      </c>
      <c r="E6" s="34">
        <v>3</v>
      </c>
    </row>
    <row r="7" spans="1:5" x14ac:dyDescent="0.3">
      <c r="A7" s="33" t="s">
        <v>45</v>
      </c>
      <c r="B7" s="34">
        <v>1</v>
      </c>
      <c r="C7" s="34">
        <v>2</v>
      </c>
      <c r="D7" s="34">
        <v>1</v>
      </c>
      <c r="E7" s="34">
        <v>4</v>
      </c>
    </row>
    <row r="8" spans="1:5" x14ac:dyDescent="0.3">
      <c r="A8" s="33" t="s">
        <v>22</v>
      </c>
      <c r="B8" s="34"/>
      <c r="C8" s="34">
        <v>3</v>
      </c>
      <c r="D8" s="34">
        <v>4</v>
      </c>
      <c r="E8" s="34">
        <v>7</v>
      </c>
    </row>
    <row r="9" spans="1:5" x14ac:dyDescent="0.3">
      <c r="A9" s="33" t="s">
        <v>83</v>
      </c>
      <c r="B9" s="34">
        <v>1</v>
      </c>
      <c r="C9" s="34"/>
      <c r="D9" s="34">
        <v>2</v>
      </c>
      <c r="E9" s="34">
        <v>3</v>
      </c>
    </row>
    <row r="10" spans="1:5" x14ac:dyDescent="0.3">
      <c r="A10" s="33" t="s">
        <v>53</v>
      </c>
      <c r="B10" s="34"/>
      <c r="C10" s="34">
        <v>1</v>
      </c>
      <c r="D10" s="34">
        <v>2</v>
      </c>
      <c r="E10" s="34">
        <v>3</v>
      </c>
    </row>
    <row r="11" spans="1:5" x14ac:dyDescent="0.3">
      <c r="A11" s="33" t="s">
        <v>63</v>
      </c>
      <c r="B11" s="34"/>
      <c r="C11" s="34">
        <v>1</v>
      </c>
      <c r="D11" s="34">
        <v>2</v>
      </c>
      <c r="E11" s="34">
        <v>3</v>
      </c>
    </row>
    <row r="12" spans="1:5" x14ac:dyDescent="0.3">
      <c r="A12" s="33" t="s">
        <v>75</v>
      </c>
      <c r="B12" s="34">
        <v>2</v>
      </c>
      <c r="C12" s="34">
        <v>1</v>
      </c>
      <c r="D12" s="34"/>
      <c r="E12" s="34">
        <v>3</v>
      </c>
    </row>
    <row r="13" spans="1:5" x14ac:dyDescent="0.3">
      <c r="A13" s="33" t="s">
        <v>282</v>
      </c>
      <c r="B13" s="34">
        <v>5</v>
      </c>
      <c r="C13" s="34">
        <v>10</v>
      </c>
      <c r="D13" s="34">
        <v>15</v>
      </c>
      <c r="E13" s="34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8.5546875" bestFit="1" customWidth="1"/>
    <col min="2" max="2" width="16.33203125" bestFit="1" customWidth="1"/>
    <col min="3" max="3" width="6" customWidth="1"/>
    <col min="4" max="4" width="8" customWidth="1"/>
    <col min="5" max="5" width="12" customWidth="1"/>
    <col min="6" max="6" width="13" customWidth="1"/>
    <col min="7" max="7" width="15" customWidth="1"/>
    <col min="8" max="8" width="14" customWidth="1"/>
    <col min="9" max="10" width="12" customWidth="1"/>
    <col min="11" max="11" width="10.6640625" bestFit="1" customWidth="1"/>
    <col min="12" max="12" width="9" customWidth="1"/>
    <col min="13" max="13" width="9.88671875" bestFit="1" customWidth="1"/>
    <col min="14" max="14" width="23.6640625" bestFit="1" customWidth="1"/>
    <col min="15" max="15" width="13.77734375" bestFit="1" customWidth="1"/>
    <col min="16" max="16" width="15.109375" bestFit="1" customWidth="1"/>
    <col min="17" max="17" width="19.5546875" bestFit="1" customWidth="1"/>
    <col min="18" max="18" width="8" customWidth="1"/>
    <col min="19" max="19" width="16" customWidth="1"/>
    <col min="20" max="20" width="15.5546875" customWidth="1"/>
    <col min="21" max="21" width="30.5546875" bestFit="1" customWidth="1"/>
    <col min="22" max="22" width="13.21875" customWidth="1"/>
    <col min="23" max="23" width="22.44140625" customWidth="1"/>
    <col min="24" max="24" width="13.44140625" customWidth="1"/>
    <col min="25" max="25" width="13.21875" customWidth="1"/>
    <col min="26" max="27" width="13.33203125" bestFit="1" customWidth="1"/>
    <col min="28" max="28" width="17.6640625" customWidth="1"/>
    <col min="29" max="29" width="9.88671875" customWidth="1"/>
    <col min="30" max="30" width="20.77734375" customWidth="1"/>
    <col min="31" max="31" width="22.109375" customWidth="1"/>
    <col min="32" max="32" width="23.109375" customWidth="1"/>
    <col min="33" max="33" width="20.109375" bestFit="1" customWidth="1"/>
    <col min="34" max="34" width="22" bestFit="1" customWidth="1"/>
    <col min="35" max="35" width="34.77734375" bestFit="1" customWidth="1"/>
  </cols>
  <sheetData>
    <row r="1" spans="1:3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1" t="s">
        <v>251</v>
      </c>
      <c r="AB1" s="27" t="s">
        <v>273</v>
      </c>
      <c r="AC1" s="27" t="s">
        <v>274</v>
      </c>
      <c r="AD1" s="27" t="s">
        <v>275</v>
      </c>
      <c r="AE1" s="27" t="s">
        <v>276</v>
      </c>
      <c r="AF1" s="27" t="s">
        <v>277</v>
      </c>
      <c r="AG1" s="27" t="s">
        <v>278</v>
      </c>
      <c r="AH1" s="27" t="s">
        <v>279</v>
      </c>
      <c r="AI1" s="27" t="s">
        <v>280</v>
      </c>
    </row>
    <row r="2" spans="1:35" x14ac:dyDescent="0.3">
      <c r="A2" s="2" t="s">
        <v>18</v>
      </c>
      <c r="B2" s="2" t="s">
        <v>19</v>
      </c>
      <c r="C2" s="2">
        <v>28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2</v>
      </c>
      <c r="M2" s="2">
        <v>25000</v>
      </c>
      <c r="N2" s="2">
        <v>5</v>
      </c>
      <c r="O2" s="2" t="s">
        <v>28</v>
      </c>
      <c r="P2" s="2" t="s">
        <v>29</v>
      </c>
      <c r="Q2" s="2" t="s">
        <v>30</v>
      </c>
      <c r="R2" s="2">
        <v>4.5</v>
      </c>
      <c r="S2" s="2">
        <f>L2*M2</f>
        <v>50000</v>
      </c>
      <c r="T2" s="2">
        <f>S2*N2/100</f>
        <v>2500</v>
      </c>
      <c r="U2" s="2">
        <f>S2-T2</f>
        <v>47500</v>
      </c>
      <c r="V2" s="2">
        <f t="shared" ref="V2:V31" si="0">J2-I2</f>
        <v>3</v>
      </c>
      <c r="W2" s="2" t="str">
        <f>IF(C2&lt;20,"Young",IF(C2&lt;45,"Adult",IF(C2&lt;60,"Senior","old")))</f>
        <v>Adult</v>
      </c>
      <c r="X2" s="2" t="str">
        <f>IF(V2&lt;=3,"Speed",IF(V2&lt;=6,"Normal","Late"))</f>
        <v>Speed</v>
      </c>
      <c r="Y2" s="2" t="str">
        <f>IF(U2&gt;50000,"Platinuim",IF(U2&gt;20000,"Gold",IF(U2&gt;5000,"Silver","Bronze")))</f>
        <v>Gold</v>
      </c>
      <c r="Z2" s="2" t="str">
        <f>IF(R2&gt;=4.5,"Excellent",IF(R2&gt;=4,"Good",IF(R2&gt;=3.5,"Average","Poor")))</f>
        <v>Excellent</v>
      </c>
      <c r="AA2" s="2">
        <f>IF(O3="Yes",1,0)</f>
        <v>0</v>
      </c>
      <c r="AB2" s="2">
        <f>MONTH(I2)</f>
        <v>1</v>
      </c>
      <c r="AC2" s="2">
        <f>YEAR(I2)</f>
        <v>2024</v>
      </c>
      <c r="AD2" s="2" t="str">
        <f>TEXT(I2,"DD-MMM-YYYY")</f>
        <v>03-Jan-2024</v>
      </c>
      <c r="AE2" s="2" t="str">
        <f>B2&amp;","&amp;E2</f>
        <v>Aarav Sharma,Mumbai</v>
      </c>
      <c r="AF2" s="2" t="str">
        <f>UPPER(B2)</f>
        <v>AARAV SHARMA</v>
      </c>
      <c r="AG2" s="2">
        <f>LEN(AF2)</f>
        <v>12</v>
      </c>
      <c r="AH2" s="2" t="str">
        <f>RIGHT(A2,3)</f>
        <v>001</v>
      </c>
      <c r="AI2" s="2" t="str">
        <f>RIGHT(B2,3)</f>
        <v>rma</v>
      </c>
    </row>
    <row r="3" spans="1:35" x14ac:dyDescent="0.3">
      <c r="A3" s="3" t="s">
        <v>31</v>
      </c>
      <c r="B3" s="3" t="s">
        <v>32</v>
      </c>
      <c r="C3" s="3">
        <v>34</v>
      </c>
      <c r="D3" s="3" t="s">
        <v>33</v>
      </c>
      <c r="E3" s="3" t="s">
        <v>34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>
        <v>3</v>
      </c>
      <c r="M3" s="3">
        <v>1800</v>
      </c>
      <c r="N3" s="3">
        <v>10</v>
      </c>
      <c r="O3" s="3" t="s">
        <v>28</v>
      </c>
      <c r="P3" s="3" t="s">
        <v>40</v>
      </c>
      <c r="Q3" s="3" t="s">
        <v>41</v>
      </c>
      <c r="R3" s="3">
        <v>3.8</v>
      </c>
      <c r="S3" s="2">
        <f t="shared" ref="S3:S31" si="1">L3*M3</f>
        <v>5400</v>
      </c>
      <c r="T3" s="2">
        <f t="shared" ref="T3:T31" si="2">S3*N3/100</f>
        <v>540</v>
      </c>
      <c r="U3" s="2">
        <f t="shared" ref="U3:U31" si="3">S3-T3</f>
        <v>4860</v>
      </c>
      <c r="V3" s="2">
        <f t="shared" si="0"/>
        <v>4</v>
      </c>
      <c r="W3" s="2" t="str">
        <f t="shared" ref="W3:W31" si="4">IF(C3&lt;20,"Young",IF(C3&lt;45,"Adult",IF(C3&lt;60,"Senior","old")))</f>
        <v>Adult</v>
      </c>
      <c r="X3" s="2" t="str">
        <f t="shared" ref="X3:X31" si="5">IF(V3&lt;=3,"Speed",IF(V3&lt;=6,"Normal","Late"))</f>
        <v>Normal</v>
      </c>
      <c r="Y3" s="2" t="str">
        <f t="shared" ref="Y3:Y31" si="6">IF(U3&gt;50000,"Platinuim",IF(U3&gt;20000,"Gold",IF(U3&gt;5000,"Silver","Bronze")))</f>
        <v>Bronze</v>
      </c>
      <c r="Z3" s="2" t="str">
        <f t="shared" ref="Z3:Z31" si="7">IF(R3&gt;=4.5,"Excellent",IF(R3&gt;=4,"Good",IF(R3&gt;=3.5,"Average","Poor")))</f>
        <v>Average</v>
      </c>
      <c r="AA3" s="2">
        <f t="shared" ref="AA3:AA31" si="8">IF(O4="Yes",1,0)</f>
        <v>0</v>
      </c>
      <c r="AB3" s="2">
        <f t="shared" ref="AB3:AB31" si="9">MONTH(I3)</f>
        <v>1</v>
      </c>
      <c r="AC3" s="2">
        <f t="shared" ref="AC3:AC31" si="10">YEAR(I3)</f>
        <v>2024</v>
      </c>
      <c r="AD3" s="2" t="str">
        <f t="shared" ref="AD3:AD31" si="11">TEXT(I3,"DD-MMM-YYYY")</f>
        <v>05-Jan-2024</v>
      </c>
      <c r="AE3" s="2" t="str">
        <f t="shared" ref="AE3:AE31" si="12">B3&amp;","&amp;E3</f>
        <v>Priya Nair,Delhi</v>
      </c>
      <c r="AF3" s="2" t="str">
        <f t="shared" ref="AF3:AF31" si="13">UPPER(B3)</f>
        <v>PRIYA NAIR</v>
      </c>
      <c r="AG3" s="2">
        <f t="shared" ref="AG3:AG31" si="14">LEN(AF3)</f>
        <v>10</v>
      </c>
      <c r="AH3" s="2" t="str">
        <f t="shared" ref="AH3:AI31" si="15">RIGHT(A3,3)</f>
        <v>002</v>
      </c>
      <c r="AI3" s="2" t="str">
        <f t="shared" si="15"/>
        <v>air</v>
      </c>
    </row>
    <row r="4" spans="1:35" x14ac:dyDescent="0.3">
      <c r="A4" s="2" t="s">
        <v>42</v>
      </c>
      <c r="B4" s="2" t="s">
        <v>43</v>
      </c>
      <c r="C4" s="2">
        <v>45</v>
      </c>
      <c r="D4" s="2" t="s">
        <v>20</v>
      </c>
      <c r="E4" s="2" t="s">
        <v>44</v>
      </c>
      <c r="F4" s="2" t="s">
        <v>45</v>
      </c>
      <c r="G4" s="2" t="s">
        <v>23</v>
      </c>
      <c r="H4" s="2" t="s">
        <v>46</v>
      </c>
      <c r="I4" s="2" t="s">
        <v>47</v>
      </c>
      <c r="J4" s="2" t="s">
        <v>48</v>
      </c>
      <c r="K4" s="2" t="s">
        <v>27</v>
      </c>
      <c r="L4" s="2">
        <v>1</v>
      </c>
      <c r="M4" s="2">
        <v>65000</v>
      </c>
      <c r="N4" s="2">
        <v>0</v>
      </c>
      <c r="O4" s="2" t="s">
        <v>28</v>
      </c>
      <c r="P4" s="2" t="s">
        <v>49</v>
      </c>
      <c r="Q4" s="2" t="s">
        <v>30</v>
      </c>
      <c r="R4" s="2">
        <v>4.9000000000000004</v>
      </c>
      <c r="S4" s="2">
        <f t="shared" si="1"/>
        <v>65000</v>
      </c>
      <c r="T4" s="2">
        <f>S4*N4/100</f>
        <v>0</v>
      </c>
      <c r="U4" s="2">
        <f t="shared" si="3"/>
        <v>65000</v>
      </c>
      <c r="V4" s="2">
        <f t="shared" si="0"/>
        <v>3</v>
      </c>
      <c r="W4" s="2" t="str">
        <f t="shared" si="4"/>
        <v>Senior</v>
      </c>
      <c r="X4" s="2" t="str">
        <f t="shared" si="5"/>
        <v>Speed</v>
      </c>
      <c r="Y4" s="2" t="str">
        <f t="shared" si="6"/>
        <v>Platinuim</v>
      </c>
      <c r="Z4" s="2" t="str">
        <f t="shared" si="7"/>
        <v>Excellent</v>
      </c>
      <c r="AA4" s="2">
        <f t="shared" si="8"/>
        <v>1</v>
      </c>
      <c r="AB4" s="2">
        <f t="shared" si="9"/>
        <v>1</v>
      </c>
      <c r="AC4" s="2">
        <f t="shared" si="10"/>
        <v>2024</v>
      </c>
      <c r="AD4" s="2" t="str">
        <f t="shared" si="11"/>
        <v>07-Jan-2024</v>
      </c>
      <c r="AE4" s="2" t="str">
        <f t="shared" si="12"/>
        <v>Rohit Verma,Bangalore</v>
      </c>
      <c r="AF4" s="2" t="str">
        <f t="shared" si="13"/>
        <v>ROHIT VERMA</v>
      </c>
      <c r="AG4" s="2">
        <f t="shared" si="14"/>
        <v>11</v>
      </c>
      <c r="AH4" s="2" t="str">
        <f t="shared" si="15"/>
        <v>003</v>
      </c>
      <c r="AI4" s="2" t="str">
        <f t="shared" si="15"/>
        <v>rma</v>
      </c>
    </row>
    <row r="5" spans="1:35" x14ac:dyDescent="0.3">
      <c r="A5" s="3" t="s">
        <v>50</v>
      </c>
      <c r="B5" s="3" t="s">
        <v>51</v>
      </c>
      <c r="C5" s="3">
        <v>29</v>
      </c>
      <c r="D5" s="3" t="s">
        <v>33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39</v>
      </c>
      <c r="L5" s="3">
        <v>4</v>
      </c>
      <c r="M5" s="3">
        <v>2200</v>
      </c>
      <c r="N5" s="3">
        <v>8</v>
      </c>
      <c r="O5" s="3" t="s">
        <v>58</v>
      </c>
      <c r="P5" s="3" t="s">
        <v>59</v>
      </c>
      <c r="Q5" s="3" t="s">
        <v>30</v>
      </c>
      <c r="R5" s="3">
        <v>3.5</v>
      </c>
      <c r="S5" s="2">
        <f t="shared" si="1"/>
        <v>8800</v>
      </c>
      <c r="T5" s="2">
        <f t="shared" si="2"/>
        <v>704</v>
      </c>
      <c r="U5" s="2">
        <f t="shared" si="3"/>
        <v>8096</v>
      </c>
      <c r="V5" s="2">
        <f t="shared" si="0"/>
        <v>6</v>
      </c>
      <c r="W5" s="2" t="str">
        <f t="shared" si="4"/>
        <v>Adult</v>
      </c>
      <c r="X5" s="2" t="str">
        <f t="shared" si="5"/>
        <v>Normal</v>
      </c>
      <c r="Y5" s="2" t="str">
        <f t="shared" si="6"/>
        <v>Silver</v>
      </c>
      <c r="Z5" s="2" t="str">
        <f t="shared" si="7"/>
        <v>Average</v>
      </c>
      <c r="AA5" s="2">
        <f t="shared" si="8"/>
        <v>0</v>
      </c>
      <c r="AB5" s="2">
        <f t="shared" si="9"/>
        <v>1</v>
      </c>
      <c r="AC5" s="2">
        <f t="shared" si="10"/>
        <v>2024</v>
      </c>
      <c r="AD5" s="2" t="str">
        <f t="shared" si="11"/>
        <v>08-Jan-2024</v>
      </c>
      <c r="AE5" s="2" t="str">
        <f t="shared" si="12"/>
        <v>Sneha Pillai,Chennai</v>
      </c>
      <c r="AF5" s="2" t="str">
        <f t="shared" si="13"/>
        <v>SNEHA PILLAI</v>
      </c>
      <c r="AG5" s="2">
        <f t="shared" si="14"/>
        <v>12</v>
      </c>
      <c r="AH5" s="2" t="str">
        <f t="shared" si="15"/>
        <v>004</v>
      </c>
      <c r="AI5" s="2" t="str">
        <f>G5&amp;"&gt;"&amp;H5</f>
        <v>Home &amp; Kitchen&gt;Cookware</v>
      </c>
    </row>
    <row r="6" spans="1:35" x14ac:dyDescent="0.3">
      <c r="A6" s="2" t="s">
        <v>60</v>
      </c>
      <c r="B6" s="2" t="s">
        <v>61</v>
      </c>
      <c r="C6" s="2">
        <v>52</v>
      </c>
      <c r="D6" s="2" t="s">
        <v>20</v>
      </c>
      <c r="E6" s="2" t="s">
        <v>62</v>
      </c>
      <c r="F6" s="2" t="s">
        <v>63</v>
      </c>
      <c r="G6" s="2" t="s">
        <v>23</v>
      </c>
      <c r="H6" s="2" t="s">
        <v>64</v>
      </c>
      <c r="I6" s="2" t="s">
        <v>48</v>
      </c>
      <c r="J6" s="2" t="s">
        <v>65</v>
      </c>
      <c r="K6" s="2" t="s">
        <v>27</v>
      </c>
      <c r="L6" s="2">
        <v>1</v>
      </c>
      <c r="M6" s="2">
        <v>32000</v>
      </c>
      <c r="N6" s="2">
        <v>5</v>
      </c>
      <c r="O6" s="2" t="s">
        <v>28</v>
      </c>
      <c r="P6" s="2" t="s">
        <v>29</v>
      </c>
      <c r="Q6" s="2" t="s">
        <v>41</v>
      </c>
      <c r="R6" s="2">
        <v>4.7</v>
      </c>
      <c r="S6" s="2">
        <f t="shared" si="1"/>
        <v>32000</v>
      </c>
      <c r="T6" s="2">
        <f t="shared" si="2"/>
        <v>1600</v>
      </c>
      <c r="U6" s="2">
        <f t="shared" si="3"/>
        <v>30400</v>
      </c>
      <c r="V6" s="2">
        <f t="shared" si="0"/>
        <v>3</v>
      </c>
      <c r="W6" s="2" t="str">
        <f t="shared" si="4"/>
        <v>Senior</v>
      </c>
      <c r="X6" s="2" t="str">
        <f t="shared" si="5"/>
        <v>Speed</v>
      </c>
      <c r="Y6" s="2" t="str">
        <f t="shared" si="6"/>
        <v>Gold</v>
      </c>
      <c r="Z6" s="2" t="str">
        <f t="shared" si="7"/>
        <v>Excellent</v>
      </c>
      <c r="AA6" s="2">
        <f t="shared" si="8"/>
        <v>0</v>
      </c>
      <c r="AB6" s="2">
        <f t="shared" si="9"/>
        <v>1</v>
      </c>
      <c r="AC6" s="2">
        <f t="shared" si="10"/>
        <v>2024</v>
      </c>
      <c r="AD6" s="2" t="str">
        <f t="shared" si="11"/>
        <v>10-Jan-2024</v>
      </c>
      <c r="AE6" s="2" t="str">
        <f t="shared" si="12"/>
        <v>Karan Patel,Hyderabad</v>
      </c>
      <c r="AF6" s="2" t="str">
        <f t="shared" si="13"/>
        <v>KARAN PATEL</v>
      </c>
      <c r="AG6" s="2">
        <f t="shared" si="14"/>
        <v>11</v>
      </c>
      <c r="AH6" s="2" t="str">
        <f t="shared" si="15"/>
        <v>005</v>
      </c>
      <c r="AI6" s="2" t="str">
        <f t="shared" ref="AI6:AI31" si="16">G6&amp;"&gt;"&amp;H6</f>
        <v>Electronics&gt;Tablet</v>
      </c>
    </row>
    <row r="7" spans="1:35" x14ac:dyDescent="0.3">
      <c r="A7" s="3" t="s">
        <v>66</v>
      </c>
      <c r="B7" s="3" t="s">
        <v>67</v>
      </c>
      <c r="C7" s="3">
        <v>23</v>
      </c>
      <c r="D7" s="3" t="s">
        <v>33</v>
      </c>
      <c r="E7" s="3" t="s">
        <v>68</v>
      </c>
      <c r="F7" s="3" t="s">
        <v>22</v>
      </c>
      <c r="G7" s="3" t="s">
        <v>35</v>
      </c>
      <c r="H7" s="3" t="s">
        <v>69</v>
      </c>
      <c r="I7" s="3" t="s">
        <v>70</v>
      </c>
      <c r="J7" s="3" t="s">
        <v>71</v>
      </c>
      <c r="K7" s="3" t="s">
        <v>39</v>
      </c>
      <c r="L7" s="3">
        <v>2</v>
      </c>
      <c r="M7" s="3">
        <v>2500</v>
      </c>
      <c r="N7" s="3">
        <v>15</v>
      </c>
      <c r="O7" s="3" t="s">
        <v>28</v>
      </c>
      <c r="P7" s="3" t="s">
        <v>40</v>
      </c>
      <c r="Q7" s="3" t="s">
        <v>30</v>
      </c>
      <c r="R7" s="3">
        <v>4.2</v>
      </c>
      <c r="S7" s="2">
        <f t="shared" si="1"/>
        <v>5000</v>
      </c>
      <c r="T7" s="2">
        <f t="shared" si="2"/>
        <v>750</v>
      </c>
      <c r="U7" s="2">
        <f t="shared" si="3"/>
        <v>4250</v>
      </c>
      <c r="V7" s="2">
        <f t="shared" si="0"/>
        <v>5</v>
      </c>
      <c r="W7" s="2" t="str">
        <f t="shared" si="4"/>
        <v>Adult</v>
      </c>
      <c r="X7" s="2" t="str">
        <f t="shared" si="5"/>
        <v>Normal</v>
      </c>
      <c r="Y7" s="2" t="str">
        <f t="shared" si="6"/>
        <v>Bronze</v>
      </c>
      <c r="Z7" s="2" t="str">
        <f t="shared" si="7"/>
        <v>Good</v>
      </c>
      <c r="AA7" s="2">
        <f t="shared" si="8"/>
        <v>0</v>
      </c>
      <c r="AB7" s="2">
        <f t="shared" si="9"/>
        <v>1</v>
      </c>
      <c r="AC7" s="2">
        <f t="shared" si="10"/>
        <v>2024</v>
      </c>
      <c r="AD7" s="2" t="str">
        <f t="shared" si="11"/>
        <v>12-Jan-2024</v>
      </c>
      <c r="AE7" s="2" t="str">
        <f t="shared" si="12"/>
        <v>Divya Reddy,Pune</v>
      </c>
      <c r="AF7" s="2" t="str">
        <f t="shared" si="13"/>
        <v>DIVYA REDDY</v>
      </c>
      <c r="AG7" s="2">
        <f t="shared" si="14"/>
        <v>11</v>
      </c>
      <c r="AH7" s="2" t="str">
        <f t="shared" si="15"/>
        <v>006</v>
      </c>
      <c r="AI7" s="2" t="str">
        <f t="shared" si="16"/>
        <v>Clothing&gt;Western Wear</v>
      </c>
    </row>
    <row r="8" spans="1:35" x14ac:dyDescent="0.3">
      <c r="A8" s="2" t="s">
        <v>72</v>
      </c>
      <c r="B8" s="2" t="s">
        <v>73</v>
      </c>
      <c r="C8" s="2">
        <v>38</v>
      </c>
      <c r="D8" s="2" t="s">
        <v>20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57</v>
      </c>
      <c r="J8" s="2" t="s">
        <v>78</v>
      </c>
      <c r="K8" s="2" t="s">
        <v>79</v>
      </c>
      <c r="L8" s="2">
        <v>5</v>
      </c>
      <c r="M8" s="2">
        <v>450</v>
      </c>
      <c r="N8" s="2">
        <v>0</v>
      </c>
      <c r="O8" s="2" t="s">
        <v>28</v>
      </c>
      <c r="P8" s="2" t="s">
        <v>29</v>
      </c>
      <c r="Q8" s="2" t="s">
        <v>30</v>
      </c>
      <c r="R8" s="2">
        <v>4.5999999999999996</v>
      </c>
      <c r="S8" s="2">
        <f t="shared" si="1"/>
        <v>2250</v>
      </c>
      <c r="T8" s="2">
        <f t="shared" si="2"/>
        <v>0</v>
      </c>
      <c r="U8" s="2">
        <f t="shared" si="3"/>
        <v>2250</v>
      </c>
      <c r="V8" s="2">
        <f t="shared" si="0"/>
        <v>4</v>
      </c>
      <c r="W8" s="2" t="str">
        <f t="shared" si="4"/>
        <v>Adult</v>
      </c>
      <c r="X8" s="2" t="str">
        <f t="shared" si="5"/>
        <v>Normal</v>
      </c>
      <c r="Y8" s="2" t="str">
        <f>IF(U8&gt;50000,"Platinuim",IF(U8&gt;20000,"Gold",IF(U8&gt;5000,"Silver","Bronze")))</f>
        <v>Bronze</v>
      </c>
      <c r="Z8" s="2" t="str">
        <f t="shared" si="7"/>
        <v>Excellent</v>
      </c>
      <c r="AA8" s="2">
        <f t="shared" si="8"/>
        <v>1</v>
      </c>
      <c r="AB8" s="2">
        <f t="shared" si="9"/>
        <v>1</v>
      </c>
      <c r="AC8" s="2">
        <f t="shared" si="10"/>
        <v>2024</v>
      </c>
      <c r="AD8" s="2" t="str">
        <f t="shared" si="11"/>
        <v>14-Jan-2024</v>
      </c>
      <c r="AE8" s="2" t="str">
        <f t="shared" si="12"/>
        <v>Arjun Das,Kolkata</v>
      </c>
      <c r="AF8" s="2" t="str">
        <f t="shared" si="13"/>
        <v>ARJUN DAS</v>
      </c>
      <c r="AG8" s="2">
        <f t="shared" si="14"/>
        <v>9</v>
      </c>
      <c r="AH8" s="2" t="str">
        <f t="shared" si="15"/>
        <v>007</v>
      </c>
      <c r="AI8" s="2" t="str">
        <f t="shared" si="16"/>
        <v>Books&gt;Fiction</v>
      </c>
    </row>
    <row r="9" spans="1:35" x14ac:dyDescent="0.3">
      <c r="A9" s="3" t="s">
        <v>80</v>
      </c>
      <c r="B9" s="3" t="s">
        <v>81</v>
      </c>
      <c r="C9" s="3">
        <v>41</v>
      </c>
      <c r="D9" s="3" t="s">
        <v>33</v>
      </c>
      <c r="E9" s="3" t="s">
        <v>82</v>
      </c>
      <c r="F9" s="3" t="s">
        <v>83</v>
      </c>
      <c r="G9" s="3" t="s">
        <v>54</v>
      </c>
      <c r="H9" s="3" t="s">
        <v>84</v>
      </c>
      <c r="I9" s="3" t="s">
        <v>85</v>
      </c>
      <c r="J9" s="3" t="s">
        <v>86</v>
      </c>
      <c r="K9" s="3" t="s">
        <v>39</v>
      </c>
      <c r="L9" s="3">
        <v>1</v>
      </c>
      <c r="M9" s="3">
        <v>18000</v>
      </c>
      <c r="N9" s="3">
        <v>10</v>
      </c>
      <c r="O9" s="3" t="s">
        <v>58</v>
      </c>
      <c r="P9" s="3" t="s">
        <v>40</v>
      </c>
      <c r="Q9" s="3" t="s">
        <v>41</v>
      </c>
      <c r="R9" s="3">
        <v>3.2</v>
      </c>
      <c r="S9" s="2">
        <f t="shared" si="1"/>
        <v>18000</v>
      </c>
      <c r="T9" s="2">
        <f t="shared" si="2"/>
        <v>1800</v>
      </c>
      <c r="U9" s="2">
        <f t="shared" si="3"/>
        <v>16200</v>
      </c>
      <c r="V9" s="2">
        <f t="shared" si="0"/>
        <v>7</v>
      </c>
      <c r="W9" s="2" t="str">
        <f t="shared" si="4"/>
        <v>Adult</v>
      </c>
      <c r="X9" s="2" t="str">
        <f t="shared" si="5"/>
        <v>Late</v>
      </c>
      <c r="Y9" s="2" t="str">
        <f t="shared" si="6"/>
        <v>Silver</v>
      </c>
      <c r="Z9" s="2" t="str">
        <f t="shared" si="7"/>
        <v>Poor</v>
      </c>
      <c r="AA9" s="2">
        <f t="shared" si="8"/>
        <v>0</v>
      </c>
      <c r="AB9" s="2">
        <f t="shared" si="9"/>
        <v>1</v>
      </c>
      <c r="AC9" s="2">
        <f t="shared" si="10"/>
        <v>2024</v>
      </c>
      <c r="AD9" s="2" t="str">
        <f t="shared" si="11"/>
        <v>15-Jan-2024</v>
      </c>
      <c r="AE9" s="2" t="str">
        <f t="shared" si="12"/>
        <v>Meera Joshi,Jaipur</v>
      </c>
      <c r="AF9" s="2" t="str">
        <f t="shared" si="13"/>
        <v>MEERA JOSHI</v>
      </c>
      <c r="AG9" s="2">
        <f t="shared" si="14"/>
        <v>11</v>
      </c>
      <c r="AH9" s="2" t="str">
        <f t="shared" si="15"/>
        <v>008</v>
      </c>
      <c r="AI9" s="2" t="str">
        <f t="shared" si="16"/>
        <v>Home &amp; Kitchen&gt;Furniture</v>
      </c>
    </row>
    <row r="10" spans="1:35" x14ac:dyDescent="0.3">
      <c r="A10" s="2" t="s">
        <v>87</v>
      </c>
      <c r="B10" s="2" t="s">
        <v>88</v>
      </c>
      <c r="C10" s="2">
        <v>56</v>
      </c>
      <c r="D10" s="2" t="s">
        <v>20</v>
      </c>
      <c r="E10" s="2" t="s">
        <v>89</v>
      </c>
      <c r="F10" s="2" t="s">
        <v>90</v>
      </c>
      <c r="G10" s="2" t="s">
        <v>23</v>
      </c>
      <c r="H10" s="2" t="s">
        <v>91</v>
      </c>
      <c r="I10" s="2" t="s">
        <v>71</v>
      </c>
      <c r="J10" s="2" t="s">
        <v>92</v>
      </c>
      <c r="K10" s="2" t="s">
        <v>27</v>
      </c>
      <c r="L10" s="2">
        <v>1</v>
      </c>
      <c r="M10" s="2">
        <v>45000</v>
      </c>
      <c r="N10" s="2">
        <v>0</v>
      </c>
      <c r="O10" s="2" t="s">
        <v>28</v>
      </c>
      <c r="P10" s="2" t="s">
        <v>49</v>
      </c>
      <c r="Q10" s="2" t="s">
        <v>41</v>
      </c>
      <c r="R10" s="2">
        <v>4.8</v>
      </c>
      <c r="S10" s="2">
        <f t="shared" si="1"/>
        <v>45000</v>
      </c>
      <c r="T10" s="2">
        <f t="shared" si="2"/>
        <v>0</v>
      </c>
      <c r="U10" s="2">
        <f t="shared" si="3"/>
        <v>45000</v>
      </c>
      <c r="V10" s="2">
        <f t="shared" si="0"/>
        <v>3</v>
      </c>
      <c r="W10" s="2" t="str">
        <f t="shared" si="4"/>
        <v>Senior</v>
      </c>
      <c r="X10" s="2" t="str">
        <f t="shared" si="5"/>
        <v>Speed</v>
      </c>
      <c r="Y10" s="2" t="str">
        <f t="shared" si="6"/>
        <v>Gold</v>
      </c>
      <c r="Z10" s="2" t="str">
        <f t="shared" si="7"/>
        <v>Excellent</v>
      </c>
      <c r="AA10" s="2">
        <f t="shared" si="8"/>
        <v>0</v>
      </c>
      <c r="AB10" s="2">
        <f t="shared" si="9"/>
        <v>1</v>
      </c>
      <c r="AC10" s="2">
        <f t="shared" si="10"/>
        <v>2024</v>
      </c>
      <c r="AD10" s="2" t="str">
        <f t="shared" si="11"/>
        <v>17-Jan-2024</v>
      </c>
      <c r="AE10" s="2" t="str">
        <f t="shared" si="12"/>
        <v>Vikram Shah,Ahmedabad</v>
      </c>
      <c r="AF10" s="2" t="str">
        <f t="shared" si="13"/>
        <v>VIKRAM SHAH</v>
      </c>
      <c r="AG10" s="2">
        <f t="shared" si="14"/>
        <v>11</v>
      </c>
      <c r="AH10" s="2" t="str">
        <f t="shared" si="15"/>
        <v>009</v>
      </c>
      <c r="AI10" s="2" t="str">
        <f t="shared" si="16"/>
        <v>Electronics&gt;Camera</v>
      </c>
    </row>
    <row r="11" spans="1:35" x14ac:dyDescent="0.3">
      <c r="A11" s="3" t="s">
        <v>93</v>
      </c>
      <c r="B11" s="3" t="s">
        <v>94</v>
      </c>
      <c r="C11" s="3">
        <v>31</v>
      </c>
      <c r="D11" s="3" t="s">
        <v>33</v>
      </c>
      <c r="E11" s="3" t="s">
        <v>21</v>
      </c>
      <c r="F11" s="3" t="s">
        <v>22</v>
      </c>
      <c r="G11" s="3" t="s">
        <v>35</v>
      </c>
      <c r="H11" s="3" t="s">
        <v>95</v>
      </c>
      <c r="I11" s="3" t="s">
        <v>96</v>
      </c>
      <c r="J11" s="3" t="s">
        <v>97</v>
      </c>
      <c r="K11" s="3" t="s">
        <v>39</v>
      </c>
      <c r="L11" s="3">
        <v>2</v>
      </c>
      <c r="M11" s="3">
        <v>3200</v>
      </c>
      <c r="N11" s="3">
        <v>12</v>
      </c>
      <c r="O11" s="3" t="s">
        <v>28</v>
      </c>
      <c r="P11" s="3" t="s">
        <v>29</v>
      </c>
      <c r="Q11" s="3" t="s">
        <v>30</v>
      </c>
      <c r="R11" s="3">
        <v>4.0999999999999996</v>
      </c>
      <c r="S11" s="2">
        <f t="shared" si="1"/>
        <v>6400</v>
      </c>
      <c r="T11" s="2">
        <f t="shared" si="2"/>
        <v>768</v>
      </c>
      <c r="U11" s="2">
        <f t="shared" si="3"/>
        <v>5632</v>
      </c>
      <c r="V11" s="2">
        <f t="shared" si="0"/>
        <v>5</v>
      </c>
      <c r="W11" s="2" t="str">
        <f t="shared" si="4"/>
        <v>Adult</v>
      </c>
      <c r="X11" s="2" t="str">
        <f t="shared" si="5"/>
        <v>Normal</v>
      </c>
      <c r="Y11" s="2" t="str">
        <f t="shared" si="6"/>
        <v>Silver</v>
      </c>
      <c r="Z11" s="2" t="str">
        <f t="shared" si="7"/>
        <v>Good</v>
      </c>
      <c r="AA11" s="2">
        <f t="shared" si="8"/>
        <v>0</v>
      </c>
      <c r="AB11" s="2">
        <f t="shared" si="9"/>
        <v>1</v>
      </c>
      <c r="AC11" s="2">
        <f t="shared" si="10"/>
        <v>2024</v>
      </c>
      <c r="AD11" s="2" t="str">
        <f t="shared" si="11"/>
        <v>19-Jan-2024</v>
      </c>
      <c r="AE11" s="2" t="str">
        <f t="shared" si="12"/>
        <v>Ananya Kumar,Mumbai</v>
      </c>
      <c r="AF11" s="2" t="str">
        <f t="shared" si="13"/>
        <v>ANANYA KUMAR</v>
      </c>
      <c r="AG11" s="2">
        <f t="shared" si="14"/>
        <v>12</v>
      </c>
      <c r="AH11" s="2" t="str">
        <f t="shared" si="15"/>
        <v>010</v>
      </c>
      <c r="AI11" s="2" t="str">
        <f t="shared" si="16"/>
        <v>Clothing&gt;Footwear</v>
      </c>
    </row>
    <row r="12" spans="1:35" x14ac:dyDescent="0.3">
      <c r="A12" s="2" t="s">
        <v>98</v>
      </c>
      <c r="B12" s="2" t="s">
        <v>99</v>
      </c>
      <c r="C12" s="2">
        <v>47</v>
      </c>
      <c r="D12" s="2" t="s">
        <v>20</v>
      </c>
      <c r="E12" s="2" t="s">
        <v>34</v>
      </c>
      <c r="F12" s="2" t="s">
        <v>34</v>
      </c>
      <c r="G12" s="2" t="s">
        <v>76</v>
      </c>
      <c r="H12" s="2" t="s">
        <v>100</v>
      </c>
      <c r="I12" s="2" t="s">
        <v>101</v>
      </c>
      <c r="J12" s="2" t="s">
        <v>102</v>
      </c>
      <c r="K12" s="2" t="s">
        <v>79</v>
      </c>
      <c r="L12" s="2">
        <v>3</v>
      </c>
      <c r="M12" s="2">
        <v>650</v>
      </c>
      <c r="N12" s="2">
        <v>0</v>
      </c>
      <c r="O12" s="2" t="s">
        <v>28</v>
      </c>
      <c r="P12" s="2" t="s">
        <v>59</v>
      </c>
      <c r="Q12" s="2" t="s">
        <v>30</v>
      </c>
      <c r="R12" s="2">
        <v>4.3</v>
      </c>
      <c r="S12" s="2">
        <f t="shared" si="1"/>
        <v>1950</v>
      </c>
      <c r="T12" s="2">
        <f t="shared" si="2"/>
        <v>0</v>
      </c>
      <c r="U12" s="2">
        <f t="shared" si="3"/>
        <v>1950</v>
      </c>
      <c r="V12" s="2">
        <f t="shared" si="0"/>
        <v>4</v>
      </c>
      <c r="W12" s="2" t="str">
        <f t="shared" si="4"/>
        <v>Senior</v>
      </c>
      <c r="X12" s="2" t="str">
        <f t="shared" si="5"/>
        <v>Normal</v>
      </c>
      <c r="Y12" s="2" t="str">
        <f t="shared" si="6"/>
        <v>Bronze</v>
      </c>
      <c r="Z12" s="2" t="str">
        <f t="shared" si="7"/>
        <v>Good</v>
      </c>
      <c r="AA12" s="2">
        <f t="shared" si="8"/>
        <v>0</v>
      </c>
      <c r="AB12" s="2">
        <f t="shared" si="9"/>
        <v>1</v>
      </c>
      <c r="AC12" s="2">
        <f t="shared" si="10"/>
        <v>2024</v>
      </c>
      <c r="AD12" s="2" t="str">
        <f t="shared" si="11"/>
        <v>21-Jan-2024</v>
      </c>
      <c r="AE12" s="2" t="str">
        <f t="shared" si="12"/>
        <v>Rahul Iyer,Delhi</v>
      </c>
      <c r="AF12" s="2" t="str">
        <f t="shared" si="13"/>
        <v>RAHUL IYER</v>
      </c>
      <c r="AG12" s="2">
        <f t="shared" si="14"/>
        <v>10</v>
      </c>
      <c r="AH12" s="2" t="str">
        <f t="shared" si="15"/>
        <v>011</v>
      </c>
      <c r="AI12" s="2" t="str">
        <f t="shared" si="16"/>
        <v>Books&gt;Non-Fiction</v>
      </c>
    </row>
    <row r="13" spans="1:35" x14ac:dyDescent="0.3">
      <c r="A13" s="3" t="s">
        <v>103</v>
      </c>
      <c r="B13" s="3" t="s">
        <v>104</v>
      </c>
      <c r="C13" s="3">
        <v>36</v>
      </c>
      <c r="D13" s="3" t="s">
        <v>33</v>
      </c>
      <c r="E13" s="3" t="s">
        <v>44</v>
      </c>
      <c r="F13" s="3" t="s">
        <v>45</v>
      </c>
      <c r="G13" s="3" t="s">
        <v>23</v>
      </c>
      <c r="H13" s="3" t="s">
        <v>105</v>
      </c>
      <c r="I13" s="3" t="s">
        <v>86</v>
      </c>
      <c r="J13" s="3" t="s">
        <v>102</v>
      </c>
      <c r="K13" s="3" t="s">
        <v>27</v>
      </c>
      <c r="L13" s="3">
        <v>2</v>
      </c>
      <c r="M13" s="3">
        <v>8500</v>
      </c>
      <c r="N13" s="3">
        <v>5</v>
      </c>
      <c r="O13" s="3" t="s">
        <v>28</v>
      </c>
      <c r="P13" s="3" t="s">
        <v>40</v>
      </c>
      <c r="Q13" s="3" t="s">
        <v>30</v>
      </c>
      <c r="R13" s="3">
        <v>4.7</v>
      </c>
      <c r="S13" s="2">
        <f t="shared" si="1"/>
        <v>17000</v>
      </c>
      <c r="T13" s="2">
        <f t="shared" si="2"/>
        <v>850</v>
      </c>
      <c r="U13" s="2">
        <f t="shared" si="3"/>
        <v>16150</v>
      </c>
      <c r="V13" s="2">
        <f t="shared" si="0"/>
        <v>3</v>
      </c>
      <c r="W13" s="2" t="str">
        <f t="shared" si="4"/>
        <v>Adult</v>
      </c>
      <c r="X13" s="2" t="str">
        <f t="shared" si="5"/>
        <v>Speed</v>
      </c>
      <c r="Y13" s="2" t="str">
        <f t="shared" si="6"/>
        <v>Silver</v>
      </c>
      <c r="Z13" s="2" t="str">
        <f t="shared" si="7"/>
        <v>Excellent</v>
      </c>
      <c r="AA13" s="2">
        <f t="shared" si="8"/>
        <v>0</v>
      </c>
      <c r="AB13" s="2">
        <f t="shared" si="9"/>
        <v>1</v>
      </c>
      <c r="AC13" s="2">
        <f t="shared" si="10"/>
        <v>2024</v>
      </c>
      <c r="AD13" s="2" t="str">
        <f t="shared" si="11"/>
        <v>22-Jan-2024</v>
      </c>
      <c r="AE13" s="2" t="str">
        <f t="shared" si="12"/>
        <v>Pooja Mehta,Bangalore</v>
      </c>
      <c r="AF13" s="2" t="str">
        <f t="shared" si="13"/>
        <v>POOJA MEHTA</v>
      </c>
      <c r="AG13" s="2">
        <f t="shared" si="14"/>
        <v>11</v>
      </c>
      <c r="AH13" s="2" t="str">
        <f t="shared" si="15"/>
        <v>012</v>
      </c>
      <c r="AI13" s="2" t="str">
        <f t="shared" si="16"/>
        <v>Electronics&gt;Headphones</v>
      </c>
    </row>
    <row r="14" spans="1:35" x14ac:dyDescent="0.3">
      <c r="A14" s="2" t="s">
        <v>106</v>
      </c>
      <c r="B14" s="2" t="s">
        <v>107</v>
      </c>
      <c r="C14" s="2">
        <v>43</v>
      </c>
      <c r="D14" s="2" t="s">
        <v>20</v>
      </c>
      <c r="E14" s="2" t="s">
        <v>52</v>
      </c>
      <c r="F14" s="2" t="s">
        <v>53</v>
      </c>
      <c r="G14" s="2" t="s">
        <v>54</v>
      </c>
      <c r="H14" s="2" t="s">
        <v>108</v>
      </c>
      <c r="I14" s="2" t="s">
        <v>97</v>
      </c>
      <c r="J14" s="2" t="s">
        <v>109</v>
      </c>
      <c r="K14" s="2" t="s">
        <v>39</v>
      </c>
      <c r="L14" s="2">
        <v>3</v>
      </c>
      <c r="M14" s="2">
        <v>4500</v>
      </c>
      <c r="N14" s="2">
        <v>8</v>
      </c>
      <c r="O14" s="2" t="s">
        <v>28</v>
      </c>
      <c r="P14" s="2" t="s">
        <v>29</v>
      </c>
      <c r="Q14" s="2" t="s">
        <v>30</v>
      </c>
      <c r="R14" s="2">
        <v>3.9</v>
      </c>
      <c r="S14" s="2">
        <f t="shared" si="1"/>
        <v>13500</v>
      </c>
      <c r="T14" s="2">
        <f t="shared" si="2"/>
        <v>1080</v>
      </c>
      <c r="U14" s="2">
        <f t="shared" si="3"/>
        <v>12420</v>
      </c>
      <c r="V14" s="2">
        <f t="shared" si="0"/>
        <v>6</v>
      </c>
      <c r="W14" s="2" t="str">
        <f t="shared" si="4"/>
        <v>Adult</v>
      </c>
      <c r="X14" s="2" t="str">
        <f t="shared" si="5"/>
        <v>Normal</v>
      </c>
      <c r="Y14" s="2" t="str">
        <f t="shared" si="6"/>
        <v>Silver</v>
      </c>
      <c r="Z14" s="2" t="str">
        <f t="shared" si="7"/>
        <v>Average</v>
      </c>
      <c r="AA14" s="2">
        <f t="shared" si="8"/>
        <v>1</v>
      </c>
      <c r="AB14" s="2">
        <f t="shared" si="9"/>
        <v>1</v>
      </c>
      <c r="AC14" s="2">
        <f t="shared" si="10"/>
        <v>2024</v>
      </c>
      <c r="AD14" s="2" t="str">
        <f t="shared" si="11"/>
        <v>24-Jan-2024</v>
      </c>
      <c r="AE14" s="2" t="str">
        <f t="shared" si="12"/>
        <v>Nikhil Rao,Chennai</v>
      </c>
      <c r="AF14" s="2" t="str">
        <f t="shared" si="13"/>
        <v>NIKHIL RAO</v>
      </c>
      <c r="AG14" s="2">
        <f t="shared" si="14"/>
        <v>10</v>
      </c>
      <c r="AH14" s="2" t="str">
        <f t="shared" si="15"/>
        <v>013</v>
      </c>
      <c r="AI14" s="2" t="str">
        <f t="shared" si="16"/>
        <v>Home &amp; Kitchen&gt;Bedding</v>
      </c>
    </row>
    <row r="15" spans="1:35" x14ac:dyDescent="0.3">
      <c r="A15" s="3" t="s">
        <v>110</v>
      </c>
      <c r="B15" s="3" t="s">
        <v>111</v>
      </c>
      <c r="C15" s="3">
        <v>27</v>
      </c>
      <c r="D15" s="3" t="s">
        <v>33</v>
      </c>
      <c r="E15" s="3" t="s">
        <v>62</v>
      </c>
      <c r="F15" s="3" t="s">
        <v>63</v>
      </c>
      <c r="G15" s="3" t="s">
        <v>35</v>
      </c>
      <c r="H15" s="3" t="s">
        <v>36</v>
      </c>
      <c r="I15" s="3" t="s">
        <v>112</v>
      </c>
      <c r="J15" s="3" t="s">
        <v>113</v>
      </c>
      <c r="K15" s="3" t="s">
        <v>39</v>
      </c>
      <c r="L15" s="3">
        <v>4</v>
      </c>
      <c r="M15" s="3">
        <v>2200</v>
      </c>
      <c r="N15" s="3">
        <v>10</v>
      </c>
      <c r="O15" s="3" t="s">
        <v>58</v>
      </c>
      <c r="P15" s="3" t="s">
        <v>59</v>
      </c>
      <c r="Q15" s="3" t="s">
        <v>30</v>
      </c>
      <c r="R15" s="3">
        <v>3.6</v>
      </c>
      <c r="S15" s="2">
        <f t="shared" si="1"/>
        <v>8800</v>
      </c>
      <c r="T15" s="2">
        <f t="shared" si="2"/>
        <v>880</v>
      </c>
      <c r="U15" s="2">
        <f t="shared" si="3"/>
        <v>7920</v>
      </c>
      <c r="V15" s="2">
        <f t="shared" si="0"/>
        <v>5</v>
      </c>
      <c r="W15" s="2" t="str">
        <f t="shared" si="4"/>
        <v>Adult</v>
      </c>
      <c r="X15" s="2" t="str">
        <f t="shared" si="5"/>
        <v>Normal</v>
      </c>
      <c r="Y15" s="2" t="str">
        <f t="shared" si="6"/>
        <v>Silver</v>
      </c>
      <c r="Z15" s="2" t="str">
        <f t="shared" si="7"/>
        <v>Average</v>
      </c>
      <c r="AA15" s="2">
        <f t="shared" si="8"/>
        <v>0</v>
      </c>
      <c r="AB15" s="2">
        <f t="shared" si="9"/>
        <v>1</v>
      </c>
      <c r="AC15" s="2">
        <f t="shared" si="10"/>
        <v>2024</v>
      </c>
      <c r="AD15" s="2" t="str">
        <f t="shared" si="11"/>
        <v>26-Jan-2024</v>
      </c>
      <c r="AE15" s="2" t="str">
        <f t="shared" si="12"/>
        <v>Kavya Singh,Hyderabad</v>
      </c>
      <c r="AF15" s="2" t="str">
        <f t="shared" si="13"/>
        <v>KAVYA SINGH</v>
      </c>
      <c r="AG15" s="2">
        <f t="shared" si="14"/>
        <v>11</v>
      </c>
      <c r="AH15" s="2" t="str">
        <f t="shared" si="15"/>
        <v>014</v>
      </c>
      <c r="AI15" s="2" t="str">
        <f t="shared" si="16"/>
        <v>Clothing&gt;Ethnic Wear</v>
      </c>
    </row>
    <row r="16" spans="1:35" x14ac:dyDescent="0.3">
      <c r="A16" s="2" t="s">
        <v>114</v>
      </c>
      <c r="B16" s="2" t="s">
        <v>115</v>
      </c>
      <c r="C16" s="2">
        <v>61</v>
      </c>
      <c r="D16" s="2" t="s">
        <v>20</v>
      </c>
      <c r="E16" s="2" t="s">
        <v>68</v>
      </c>
      <c r="F16" s="2" t="s">
        <v>22</v>
      </c>
      <c r="G16" s="2" t="s">
        <v>23</v>
      </c>
      <c r="H16" s="2" t="s">
        <v>116</v>
      </c>
      <c r="I16" s="2" t="s">
        <v>117</v>
      </c>
      <c r="J16" s="2" t="s">
        <v>118</v>
      </c>
      <c r="K16" s="2" t="s">
        <v>27</v>
      </c>
      <c r="L16" s="2">
        <v>1</v>
      </c>
      <c r="M16" s="2">
        <v>55000</v>
      </c>
      <c r="N16" s="2">
        <v>0</v>
      </c>
      <c r="O16" s="2" t="s">
        <v>28</v>
      </c>
      <c r="P16" s="2" t="s">
        <v>49</v>
      </c>
      <c r="Q16" s="2" t="s">
        <v>41</v>
      </c>
      <c r="R16" s="2">
        <v>4.5</v>
      </c>
      <c r="S16" s="2">
        <f t="shared" si="1"/>
        <v>55000</v>
      </c>
      <c r="T16" s="2">
        <f t="shared" si="2"/>
        <v>0</v>
      </c>
      <c r="U16" s="2">
        <f t="shared" si="3"/>
        <v>55000</v>
      </c>
      <c r="V16" s="2">
        <f t="shared" si="0"/>
        <v>4</v>
      </c>
      <c r="W16" s="2" t="str">
        <f t="shared" si="4"/>
        <v>old</v>
      </c>
      <c r="X16" s="2" t="str">
        <f t="shared" si="5"/>
        <v>Normal</v>
      </c>
      <c r="Y16" s="2" t="str">
        <f t="shared" si="6"/>
        <v>Platinuim</v>
      </c>
      <c r="Z16" s="2" t="str">
        <f t="shared" si="7"/>
        <v>Excellent</v>
      </c>
      <c r="AA16" s="2">
        <f t="shared" si="8"/>
        <v>0</v>
      </c>
      <c r="AB16" s="2">
        <f t="shared" si="9"/>
        <v>1</v>
      </c>
      <c r="AC16" s="2">
        <f t="shared" si="10"/>
        <v>2024</v>
      </c>
      <c r="AD16" s="2" t="str">
        <f t="shared" si="11"/>
        <v>28-Jan-2024</v>
      </c>
      <c r="AE16" s="2" t="str">
        <f t="shared" si="12"/>
        <v>Siddharth Das,Pune</v>
      </c>
      <c r="AF16" s="2" t="str">
        <f t="shared" si="13"/>
        <v>SIDDHARTH DAS</v>
      </c>
      <c r="AG16" s="2">
        <f t="shared" si="14"/>
        <v>13</v>
      </c>
      <c r="AH16" s="2" t="str">
        <f t="shared" si="15"/>
        <v>015</v>
      </c>
      <c r="AI16" s="2" t="str">
        <f t="shared" si="16"/>
        <v>Electronics&gt;Smart TV</v>
      </c>
    </row>
    <row r="17" spans="1:35" x14ac:dyDescent="0.3">
      <c r="A17" s="3" t="s">
        <v>119</v>
      </c>
      <c r="B17" s="3" t="s">
        <v>120</v>
      </c>
      <c r="C17" s="3">
        <v>39</v>
      </c>
      <c r="D17" s="3" t="s">
        <v>33</v>
      </c>
      <c r="E17" s="3" t="s">
        <v>74</v>
      </c>
      <c r="F17" s="3" t="s">
        <v>75</v>
      </c>
      <c r="G17" s="3" t="s">
        <v>76</v>
      </c>
      <c r="H17" s="3" t="s">
        <v>121</v>
      </c>
      <c r="I17" s="3" t="s">
        <v>109</v>
      </c>
      <c r="J17" s="3" t="s">
        <v>122</v>
      </c>
      <c r="K17" s="3" t="s">
        <v>79</v>
      </c>
      <c r="L17" s="3">
        <v>4</v>
      </c>
      <c r="M17" s="3">
        <v>850</v>
      </c>
      <c r="N17" s="3">
        <v>5</v>
      </c>
      <c r="O17" s="3" t="s">
        <v>28</v>
      </c>
      <c r="P17" s="3" t="s">
        <v>29</v>
      </c>
      <c r="Q17" s="3" t="s">
        <v>30</v>
      </c>
      <c r="R17" s="3">
        <v>4</v>
      </c>
      <c r="S17" s="2">
        <f t="shared" si="1"/>
        <v>3400</v>
      </c>
      <c r="T17" s="2">
        <f t="shared" si="2"/>
        <v>170</v>
      </c>
      <c r="U17" s="2">
        <f t="shared" si="3"/>
        <v>3230</v>
      </c>
      <c r="V17" s="2">
        <f t="shared" si="0"/>
        <v>5</v>
      </c>
      <c r="W17" s="2" t="str">
        <f t="shared" si="4"/>
        <v>Adult</v>
      </c>
      <c r="X17" s="2" t="str">
        <f t="shared" si="5"/>
        <v>Normal</v>
      </c>
      <c r="Y17" s="2" t="str">
        <f t="shared" si="6"/>
        <v>Bronze</v>
      </c>
      <c r="Z17" s="2" t="str">
        <f t="shared" si="7"/>
        <v>Good</v>
      </c>
      <c r="AA17" s="2">
        <f t="shared" si="8"/>
        <v>0</v>
      </c>
      <c r="AB17" s="2">
        <f t="shared" si="9"/>
        <v>1</v>
      </c>
      <c r="AC17" s="2">
        <f t="shared" si="10"/>
        <v>2024</v>
      </c>
      <c r="AD17" s="2" t="str">
        <f t="shared" si="11"/>
        <v>30-Jan-2024</v>
      </c>
      <c r="AE17" s="2" t="str">
        <f t="shared" si="12"/>
        <v>Lakshmi Nair,Kolkata</v>
      </c>
      <c r="AF17" s="2" t="str">
        <f t="shared" si="13"/>
        <v>LAKSHMI NAIR</v>
      </c>
      <c r="AG17" s="2">
        <f t="shared" si="14"/>
        <v>12</v>
      </c>
      <c r="AH17" s="2" t="str">
        <f t="shared" si="15"/>
        <v>016</v>
      </c>
      <c r="AI17" s="2" t="str">
        <f t="shared" si="16"/>
        <v>Books&gt;Academic</v>
      </c>
    </row>
    <row r="18" spans="1:35" x14ac:dyDescent="0.3">
      <c r="A18" s="2" t="s">
        <v>123</v>
      </c>
      <c r="B18" s="2" t="s">
        <v>124</v>
      </c>
      <c r="C18" s="2">
        <v>24</v>
      </c>
      <c r="D18" s="2" t="s">
        <v>20</v>
      </c>
      <c r="E18" s="2" t="s">
        <v>82</v>
      </c>
      <c r="F18" s="2" t="s">
        <v>83</v>
      </c>
      <c r="G18" s="2" t="s">
        <v>35</v>
      </c>
      <c r="H18" s="2" t="s">
        <v>69</v>
      </c>
      <c r="I18" s="2" t="s">
        <v>118</v>
      </c>
      <c r="J18" s="2" t="s">
        <v>125</v>
      </c>
      <c r="K18" s="2" t="s">
        <v>39</v>
      </c>
      <c r="L18" s="2">
        <v>3</v>
      </c>
      <c r="M18" s="2">
        <v>1900</v>
      </c>
      <c r="N18" s="2">
        <v>10</v>
      </c>
      <c r="O18" s="2" t="s">
        <v>28</v>
      </c>
      <c r="P18" s="2" t="s">
        <v>40</v>
      </c>
      <c r="Q18" s="2" t="s">
        <v>30</v>
      </c>
      <c r="R18" s="2">
        <v>4.4000000000000004</v>
      </c>
      <c r="S18" s="2">
        <f t="shared" si="1"/>
        <v>5700</v>
      </c>
      <c r="T18" s="2">
        <f t="shared" si="2"/>
        <v>570</v>
      </c>
      <c r="U18" s="2">
        <f t="shared" si="3"/>
        <v>5130</v>
      </c>
      <c r="V18" s="2">
        <f t="shared" si="0"/>
        <v>5</v>
      </c>
      <c r="W18" s="2" t="str">
        <f t="shared" si="4"/>
        <v>Adult</v>
      </c>
      <c r="X18" s="2" t="str">
        <f t="shared" si="5"/>
        <v>Normal</v>
      </c>
      <c r="Y18" s="2" t="str">
        <f t="shared" si="6"/>
        <v>Silver</v>
      </c>
      <c r="Z18" s="2" t="str">
        <f t="shared" si="7"/>
        <v>Good</v>
      </c>
      <c r="AA18" s="2">
        <f t="shared" si="8"/>
        <v>1</v>
      </c>
      <c r="AB18" s="2">
        <f t="shared" si="9"/>
        <v>2</v>
      </c>
      <c r="AC18" s="2">
        <f t="shared" si="10"/>
        <v>2024</v>
      </c>
      <c r="AD18" s="2" t="str">
        <f t="shared" si="11"/>
        <v>01-Feb-2024</v>
      </c>
      <c r="AE18" s="2" t="str">
        <f t="shared" si="12"/>
        <v>Aditya Patel,Jaipur</v>
      </c>
      <c r="AF18" s="2" t="str">
        <f t="shared" si="13"/>
        <v>ADITYA PATEL</v>
      </c>
      <c r="AG18" s="2">
        <f t="shared" si="14"/>
        <v>12</v>
      </c>
      <c r="AH18" s="2" t="str">
        <f t="shared" si="15"/>
        <v>017</v>
      </c>
      <c r="AI18" s="2" t="str">
        <f t="shared" si="16"/>
        <v>Clothing&gt;Western Wear</v>
      </c>
    </row>
    <row r="19" spans="1:35" x14ac:dyDescent="0.3">
      <c r="A19" s="3" t="s">
        <v>126</v>
      </c>
      <c r="B19" s="3" t="s">
        <v>127</v>
      </c>
      <c r="C19" s="3">
        <v>48</v>
      </c>
      <c r="D19" s="3" t="s">
        <v>33</v>
      </c>
      <c r="E19" s="3" t="s">
        <v>89</v>
      </c>
      <c r="F19" s="3" t="s">
        <v>90</v>
      </c>
      <c r="G19" s="3" t="s">
        <v>54</v>
      </c>
      <c r="H19" s="3" t="s">
        <v>55</v>
      </c>
      <c r="I19" s="3" t="s">
        <v>128</v>
      </c>
      <c r="J19" s="3" t="s">
        <v>129</v>
      </c>
      <c r="K19" s="3" t="s">
        <v>39</v>
      </c>
      <c r="L19" s="3">
        <v>2</v>
      </c>
      <c r="M19" s="3">
        <v>2800</v>
      </c>
      <c r="N19" s="3">
        <v>8</v>
      </c>
      <c r="O19" s="3" t="s">
        <v>58</v>
      </c>
      <c r="P19" s="3" t="s">
        <v>59</v>
      </c>
      <c r="Q19" s="3" t="s">
        <v>30</v>
      </c>
      <c r="R19" s="3">
        <v>3.7</v>
      </c>
      <c r="S19" s="2">
        <f t="shared" si="1"/>
        <v>5600</v>
      </c>
      <c r="T19" s="2">
        <f t="shared" si="2"/>
        <v>448</v>
      </c>
      <c r="U19" s="2">
        <f t="shared" si="3"/>
        <v>5152</v>
      </c>
      <c r="V19" s="2">
        <f t="shared" si="0"/>
        <v>6</v>
      </c>
      <c r="W19" s="2" t="str">
        <f t="shared" si="4"/>
        <v>Senior</v>
      </c>
      <c r="X19" s="2" t="str">
        <f t="shared" si="5"/>
        <v>Normal</v>
      </c>
      <c r="Y19" s="2" t="str">
        <f t="shared" si="6"/>
        <v>Silver</v>
      </c>
      <c r="Z19" s="2" t="str">
        <f t="shared" si="7"/>
        <v>Average</v>
      </c>
      <c r="AA19" s="2">
        <f t="shared" si="8"/>
        <v>0</v>
      </c>
      <c r="AB19" s="2">
        <f t="shared" si="9"/>
        <v>2</v>
      </c>
      <c r="AC19" s="2">
        <f t="shared" si="10"/>
        <v>2024</v>
      </c>
      <c r="AD19" s="2" t="str">
        <f t="shared" si="11"/>
        <v>03-Feb-2024</v>
      </c>
      <c r="AE19" s="2" t="str">
        <f t="shared" si="12"/>
        <v>Nisha Verma,Ahmedabad</v>
      </c>
      <c r="AF19" s="2" t="str">
        <f t="shared" si="13"/>
        <v>NISHA VERMA</v>
      </c>
      <c r="AG19" s="2">
        <f t="shared" si="14"/>
        <v>11</v>
      </c>
      <c r="AH19" s="2" t="str">
        <f t="shared" si="15"/>
        <v>018</v>
      </c>
      <c r="AI19" s="2" t="str">
        <f t="shared" si="16"/>
        <v>Home &amp; Kitchen&gt;Cookware</v>
      </c>
    </row>
    <row r="20" spans="1:35" x14ac:dyDescent="0.3">
      <c r="A20" s="2" t="s">
        <v>130</v>
      </c>
      <c r="B20" s="2" t="s">
        <v>131</v>
      </c>
      <c r="C20" s="2">
        <v>55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132</v>
      </c>
      <c r="J20" s="2" t="s">
        <v>133</v>
      </c>
      <c r="K20" s="2" t="s">
        <v>27</v>
      </c>
      <c r="L20" s="2">
        <v>2</v>
      </c>
      <c r="M20" s="2">
        <v>28000</v>
      </c>
      <c r="N20" s="2">
        <v>5</v>
      </c>
      <c r="O20" s="2" t="s">
        <v>28</v>
      </c>
      <c r="P20" s="2" t="s">
        <v>29</v>
      </c>
      <c r="Q20" s="2" t="s">
        <v>41</v>
      </c>
      <c r="R20" s="2">
        <v>4.5999999999999996</v>
      </c>
      <c r="S20" s="2">
        <f t="shared" si="1"/>
        <v>56000</v>
      </c>
      <c r="T20" s="2">
        <f t="shared" si="2"/>
        <v>2800</v>
      </c>
      <c r="U20" s="2">
        <f t="shared" si="3"/>
        <v>53200</v>
      </c>
      <c r="V20" s="2">
        <f t="shared" si="0"/>
        <v>3</v>
      </c>
      <c r="W20" s="2" t="str">
        <f t="shared" si="4"/>
        <v>Senior</v>
      </c>
      <c r="X20" s="2" t="str">
        <f t="shared" si="5"/>
        <v>Speed</v>
      </c>
      <c r="Y20" s="2" t="str">
        <f t="shared" si="6"/>
        <v>Platinuim</v>
      </c>
      <c r="Z20" s="2" t="str">
        <f t="shared" si="7"/>
        <v>Excellent</v>
      </c>
      <c r="AA20" s="2">
        <f t="shared" si="8"/>
        <v>0</v>
      </c>
      <c r="AB20" s="2">
        <f t="shared" si="9"/>
        <v>2</v>
      </c>
      <c r="AC20" s="2">
        <f t="shared" si="10"/>
        <v>2024</v>
      </c>
      <c r="AD20" s="2" t="str">
        <f t="shared" si="11"/>
        <v>05-Feb-2024</v>
      </c>
      <c r="AE20" s="2" t="str">
        <f t="shared" si="12"/>
        <v>Rajesh Kumar,Mumbai</v>
      </c>
      <c r="AF20" s="2" t="str">
        <f t="shared" si="13"/>
        <v>RAJESH KUMAR</v>
      </c>
      <c r="AG20" s="2">
        <f t="shared" si="14"/>
        <v>12</v>
      </c>
      <c r="AH20" s="2" t="str">
        <f t="shared" si="15"/>
        <v>019</v>
      </c>
      <c r="AI20" s="2" t="str">
        <f t="shared" si="16"/>
        <v>Electronics&gt;Mobile</v>
      </c>
    </row>
    <row r="21" spans="1:35" x14ac:dyDescent="0.3">
      <c r="A21" s="3" t="s">
        <v>134</v>
      </c>
      <c r="B21" s="3" t="s">
        <v>135</v>
      </c>
      <c r="C21" s="3">
        <v>33</v>
      </c>
      <c r="D21" s="3" t="s">
        <v>33</v>
      </c>
      <c r="E21" s="3" t="s">
        <v>34</v>
      </c>
      <c r="F21" s="3" t="s">
        <v>34</v>
      </c>
      <c r="G21" s="3" t="s">
        <v>35</v>
      </c>
      <c r="H21" s="3" t="s">
        <v>95</v>
      </c>
      <c r="I21" s="3" t="s">
        <v>136</v>
      </c>
      <c r="J21" s="3" t="s">
        <v>137</v>
      </c>
      <c r="K21" s="3" t="s">
        <v>39</v>
      </c>
      <c r="L21" s="3">
        <v>2</v>
      </c>
      <c r="M21" s="3">
        <v>2900</v>
      </c>
      <c r="N21" s="3">
        <v>12</v>
      </c>
      <c r="O21" s="3" t="s">
        <v>28</v>
      </c>
      <c r="P21" s="3" t="s">
        <v>49</v>
      </c>
      <c r="Q21" s="3" t="s">
        <v>30</v>
      </c>
      <c r="R21" s="3">
        <v>4.2</v>
      </c>
      <c r="S21" s="2">
        <f t="shared" si="1"/>
        <v>5800</v>
      </c>
      <c r="T21" s="2">
        <f t="shared" si="2"/>
        <v>696</v>
      </c>
      <c r="U21" s="2">
        <f t="shared" si="3"/>
        <v>5104</v>
      </c>
      <c r="V21" s="2">
        <f t="shared" si="0"/>
        <v>5</v>
      </c>
      <c r="W21" s="2" t="str">
        <f t="shared" si="4"/>
        <v>Adult</v>
      </c>
      <c r="X21" s="2" t="str">
        <f t="shared" si="5"/>
        <v>Normal</v>
      </c>
      <c r="Y21" s="2" t="str">
        <f t="shared" si="6"/>
        <v>Silver</v>
      </c>
      <c r="Z21" s="2" t="str">
        <f t="shared" si="7"/>
        <v>Good</v>
      </c>
      <c r="AA21" s="2">
        <f t="shared" si="8"/>
        <v>0</v>
      </c>
      <c r="AB21" s="2">
        <f t="shared" si="9"/>
        <v>2</v>
      </c>
      <c r="AC21" s="2">
        <f t="shared" si="10"/>
        <v>2024</v>
      </c>
      <c r="AD21" s="2" t="str">
        <f t="shared" si="11"/>
        <v>07-Feb-2024</v>
      </c>
      <c r="AE21" s="2" t="str">
        <f t="shared" si="12"/>
        <v>Sunita Shah,Delhi</v>
      </c>
      <c r="AF21" s="2" t="str">
        <f t="shared" si="13"/>
        <v>SUNITA SHAH</v>
      </c>
      <c r="AG21" s="2">
        <f t="shared" si="14"/>
        <v>11</v>
      </c>
      <c r="AH21" s="2" t="str">
        <f t="shared" si="15"/>
        <v>020</v>
      </c>
      <c r="AI21" s="2" t="str">
        <f t="shared" si="16"/>
        <v>Clothing&gt;Footwear</v>
      </c>
    </row>
    <row r="22" spans="1:35" x14ac:dyDescent="0.3">
      <c r="A22" s="2" t="s">
        <v>138</v>
      </c>
      <c r="B22" s="2" t="s">
        <v>139</v>
      </c>
      <c r="C22" s="2">
        <v>44</v>
      </c>
      <c r="D22" s="2" t="s">
        <v>20</v>
      </c>
      <c r="E22" s="2" t="s">
        <v>44</v>
      </c>
      <c r="F22" s="2" t="s">
        <v>45</v>
      </c>
      <c r="G22" s="2" t="s">
        <v>76</v>
      </c>
      <c r="H22" s="2" t="s">
        <v>77</v>
      </c>
      <c r="I22" s="2" t="s">
        <v>129</v>
      </c>
      <c r="J22" s="2" t="s">
        <v>140</v>
      </c>
      <c r="K22" s="2" t="s">
        <v>79</v>
      </c>
      <c r="L22" s="2">
        <v>6</v>
      </c>
      <c r="M22" s="2">
        <v>420</v>
      </c>
      <c r="N22" s="2">
        <v>0</v>
      </c>
      <c r="O22" s="2" t="s">
        <v>28</v>
      </c>
      <c r="P22" s="2" t="s">
        <v>29</v>
      </c>
      <c r="Q22" s="2" t="s">
        <v>30</v>
      </c>
      <c r="R22" s="2">
        <v>4.8</v>
      </c>
      <c r="S22" s="2">
        <f t="shared" si="1"/>
        <v>2520</v>
      </c>
      <c r="T22" s="2">
        <f t="shared" si="2"/>
        <v>0</v>
      </c>
      <c r="U22" s="2">
        <f t="shared" si="3"/>
        <v>2520</v>
      </c>
      <c r="V22" s="2">
        <f t="shared" si="0"/>
        <v>4</v>
      </c>
      <c r="W22" s="2" t="str">
        <f t="shared" si="4"/>
        <v>Adult</v>
      </c>
      <c r="X22" s="2" t="str">
        <f t="shared" si="5"/>
        <v>Normal</v>
      </c>
      <c r="Y22" s="2" t="str">
        <f t="shared" si="6"/>
        <v>Bronze</v>
      </c>
      <c r="Z22" s="2" t="str">
        <f t="shared" si="7"/>
        <v>Excellent</v>
      </c>
      <c r="AA22" s="2">
        <f t="shared" si="8"/>
        <v>0</v>
      </c>
      <c r="AB22" s="2">
        <f t="shared" si="9"/>
        <v>2</v>
      </c>
      <c r="AC22" s="2">
        <f t="shared" si="10"/>
        <v>2024</v>
      </c>
      <c r="AD22" s="2" t="str">
        <f t="shared" si="11"/>
        <v>09-Feb-2024</v>
      </c>
      <c r="AE22" s="2" t="str">
        <f t="shared" si="12"/>
        <v>Amit Sharma,Bangalore</v>
      </c>
      <c r="AF22" s="2" t="str">
        <f t="shared" si="13"/>
        <v>AMIT SHARMA</v>
      </c>
      <c r="AG22" s="2">
        <f t="shared" si="14"/>
        <v>11</v>
      </c>
      <c r="AH22" s="2" t="str">
        <f t="shared" si="15"/>
        <v>021</v>
      </c>
      <c r="AI22" s="2" t="str">
        <f t="shared" si="16"/>
        <v>Books&gt;Fiction</v>
      </c>
    </row>
    <row r="23" spans="1:35" x14ac:dyDescent="0.3">
      <c r="A23" s="3" t="s">
        <v>141</v>
      </c>
      <c r="B23" s="3" t="s">
        <v>142</v>
      </c>
      <c r="C23" s="3">
        <v>30</v>
      </c>
      <c r="D23" s="3" t="s">
        <v>33</v>
      </c>
      <c r="E23" s="3" t="s">
        <v>52</v>
      </c>
      <c r="F23" s="3" t="s">
        <v>53</v>
      </c>
      <c r="G23" s="3" t="s">
        <v>23</v>
      </c>
      <c r="H23" s="3" t="s">
        <v>46</v>
      </c>
      <c r="I23" s="3" t="s">
        <v>143</v>
      </c>
      <c r="J23" s="3" t="s">
        <v>144</v>
      </c>
      <c r="K23" s="3" t="s">
        <v>27</v>
      </c>
      <c r="L23" s="3">
        <v>1</v>
      </c>
      <c r="M23" s="3">
        <v>72000</v>
      </c>
      <c r="N23" s="3">
        <v>0</v>
      </c>
      <c r="O23" s="3" t="s">
        <v>28</v>
      </c>
      <c r="P23" s="3" t="s">
        <v>40</v>
      </c>
      <c r="Q23" s="3" t="s">
        <v>41</v>
      </c>
      <c r="R23" s="3">
        <v>4.9000000000000004</v>
      </c>
      <c r="S23" s="2">
        <f t="shared" si="1"/>
        <v>72000</v>
      </c>
      <c r="T23" s="2">
        <f t="shared" si="2"/>
        <v>0</v>
      </c>
      <c r="U23" s="2">
        <f t="shared" si="3"/>
        <v>72000</v>
      </c>
      <c r="V23" s="2">
        <f t="shared" si="0"/>
        <v>3</v>
      </c>
      <c r="W23" s="2" t="str">
        <f t="shared" si="4"/>
        <v>Adult</v>
      </c>
      <c r="X23" s="2" t="str">
        <f t="shared" si="5"/>
        <v>Speed</v>
      </c>
      <c r="Y23" s="2" t="str">
        <f t="shared" si="6"/>
        <v>Platinuim</v>
      </c>
      <c r="Z23" s="2" t="str">
        <f t="shared" si="7"/>
        <v>Excellent</v>
      </c>
      <c r="AA23" s="2">
        <f t="shared" si="8"/>
        <v>0</v>
      </c>
      <c r="AB23" s="2">
        <f t="shared" si="9"/>
        <v>2</v>
      </c>
      <c r="AC23" s="2">
        <f t="shared" si="10"/>
        <v>2024</v>
      </c>
      <c r="AD23" s="2" t="str">
        <f t="shared" si="11"/>
        <v>11-Feb-2024</v>
      </c>
      <c r="AE23" s="2" t="str">
        <f t="shared" si="12"/>
        <v>Deepa Rao,Chennai</v>
      </c>
      <c r="AF23" s="2" t="str">
        <f t="shared" si="13"/>
        <v>DEEPA RAO</v>
      </c>
      <c r="AG23" s="2">
        <f t="shared" si="14"/>
        <v>9</v>
      </c>
      <c r="AH23" s="2" t="str">
        <f t="shared" si="15"/>
        <v>022</v>
      </c>
      <c r="AI23" s="2" t="str">
        <f t="shared" si="16"/>
        <v>Electronics&gt;Laptop</v>
      </c>
    </row>
    <row r="24" spans="1:35" x14ac:dyDescent="0.3">
      <c r="A24" s="2" t="s">
        <v>145</v>
      </c>
      <c r="B24" s="2" t="s">
        <v>146</v>
      </c>
      <c r="C24" s="2">
        <v>58</v>
      </c>
      <c r="D24" s="2" t="s">
        <v>20</v>
      </c>
      <c r="E24" s="2" t="s">
        <v>62</v>
      </c>
      <c r="F24" s="2" t="s">
        <v>63</v>
      </c>
      <c r="G24" s="2" t="s">
        <v>54</v>
      </c>
      <c r="H24" s="2" t="s">
        <v>84</v>
      </c>
      <c r="I24" s="2" t="s">
        <v>140</v>
      </c>
      <c r="J24" s="2" t="s">
        <v>147</v>
      </c>
      <c r="K24" s="2" t="s">
        <v>39</v>
      </c>
      <c r="L24" s="2">
        <v>1</v>
      </c>
      <c r="M24" s="2">
        <v>22000</v>
      </c>
      <c r="N24" s="2">
        <v>10</v>
      </c>
      <c r="O24" s="2" t="s">
        <v>28</v>
      </c>
      <c r="P24" s="2" t="s">
        <v>59</v>
      </c>
      <c r="Q24" s="2" t="s">
        <v>30</v>
      </c>
      <c r="R24" s="2">
        <v>3.8</v>
      </c>
      <c r="S24" s="2">
        <f t="shared" si="1"/>
        <v>22000</v>
      </c>
      <c r="T24" s="2">
        <f t="shared" si="2"/>
        <v>2200</v>
      </c>
      <c r="U24" s="2">
        <f t="shared" si="3"/>
        <v>19800</v>
      </c>
      <c r="V24" s="2">
        <f t="shared" si="0"/>
        <v>7</v>
      </c>
      <c r="W24" s="2" t="str">
        <f t="shared" si="4"/>
        <v>Senior</v>
      </c>
      <c r="X24" s="2" t="str">
        <f t="shared" si="5"/>
        <v>Late</v>
      </c>
      <c r="Y24" s="2" t="str">
        <f t="shared" si="6"/>
        <v>Silver</v>
      </c>
      <c r="Z24" s="2" t="str">
        <f t="shared" si="7"/>
        <v>Average</v>
      </c>
      <c r="AA24" s="2">
        <f t="shared" si="8"/>
        <v>1</v>
      </c>
      <c r="AB24" s="2">
        <f t="shared" si="9"/>
        <v>2</v>
      </c>
      <c r="AC24" s="2">
        <f t="shared" si="10"/>
        <v>2024</v>
      </c>
      <c r="AD24" s="2" t="str">
        <f t="shared" si="11"/>
        <v>13-Feb-2024</v>
      </c>
      <c r="AE24" s="2" t="str">
        <f t="shared" si="12"/>
        <v>Suresh Iyer,Hyderabad</v>
      </c>
      <c r="AF24" s="2" t="str">
        <f t="shared" si="13"/>
        <v>SURESH IYER</v>
      </c>
      <c r="AG24" s="2">
        <f t="shared" si="14"/>
        <v>11</v>
      </c>
      <c r="AH24" s="2" t="str">
        <f t="shared" si="15"/>
        <v>023</v>
      </c>
      <c r="AI24" s="2" t="str">
        <f t="shared" si="16"/>
        <v>Home &amp; Kitchen&gt;Furniture</v>
      </c>
    </row>
    <row r="25" spans="1:35" x14ac:dyDescent="0.3">
      <c r="A25" s="3" t="s">
        <v>148</v>
      </c>
      <c r="B25" s="3" t="s">
        <v>149</v>
      </c>
      <c r="C25" s="3">
        <v>42</v>
      </c>
      <c r="D25" s="3" t="s">
        <v>33</v>
      </c>
      <c r="E25" s="3" t="s">
        <v>68</v>
      </c>
      <c r="F25" s="3" t="s">
        <v>22</v>
      </c>
      <c r="G25" s="3" t="s">
        <v>35</v>
      </c>
      <c r="H25" s="3" t="s">
        <v>36</v>
      </c>
      <c r="I25" s="3" t="s">
        <v>150</v>
      </c>
      <c r="J25" s="3" t="s">
        <v>147</v>
      </c>
      <c r="K25" s="3" t="s">
        <v>39</v>
      </c>
      <c r="L25" s="3">
        <v>3</v>
      </c>
      <c r="M25" s="3">
        <v>2100</v>
      </c>
      <c r="N25" s="3">
        <v>8</v>
      </c>
      <c r="O25" s="3" t="s">
        <v>58</v>
      </c>
      <c r="P25" s="3" t="s">
        <v>29</v>
      </c>
      <c r="Q25" s="3" t="s">
        <v>30</v>
      </c>
      <c r="R25" s="3">
        <v>3.4</v>
      </c>
      <c r="S25" s="2">
        <f t="shared" si="1"/>
        <v>6300</v>
      </c>
      <c r="T25" s="2">
        <f t="shared" si="2"/>
        <v>504</v>
      </c>
      <c r="U25" s="2">
        <f t="shared" si="3"/>
        <v>5796</v>
      </c>
      <c r="V25" s="2">
        <f t="shared" si="0"/>
        <v>5</v>
      </c>
      <c r="W25" s="2" t="str">
        <f t="shared" si="4"/>
        <v>Adult</v>
      </c>
      <c r="X25" s="2" t="str">
        <f t="shared" si="5"/>
        <v>Normal</v>
      </c>
      <c r="Y25" s="2" t="str">
        <f t="shared" si="6"/>
        <v>Silver</v>
      </c>
      <c r="Z25" s="2" t="str">
        <f t="shared" si="7"/>
        <v>Poor</v>
      </c>
      <c r="AA25" s="2">
        <f t="shared" si="8"/>
        <v>0</v>
      </c>
      <c r="AB25" s="2">
        <f t="shared" si="9"/>
        <v>2</v>
      </c>
      <c r="AC25" s="2">
        <f t="shared" si="10"/>
        <v>2024</v>
      </c>
      <c r="AD25" s="2" t="str">
        <f t="shared" si="11"/>
        <v>15-Feb-2024</v>
      </c>
      <c r="AE25" s="2" t="str">
        <f t="shared" si="12"/>
        <v>Rekha Pillai,Pune</v>
      </c>
      <c r="AF25" s="2" t="str">
        <f t="shared" si="13"/>
        <v>REKHA PILLAI</v>
      </c>
      <c r="AG25" s="2">
        <f t="shared" si="14"/>
        <v>12</v>
      </c>
      <c r="AH25" s="2" t="str">
        <f t="shared" si="15"/>
        <v>024</v>
      </c>
      <c r="AI25" s="2" t="str">
        <f t="shared" si="16"/>
        <v>Clothing&gt;Ethnic Wear</v>
      </c>
    </row>
    <row r="26" spans="1:35" x14ac:dyDescent="0.3">
      <c r="A26" s="2" t="s">
        <v>151</v>
      </c>
      <c r="B26" s="2" t="s">
        <v>152</v>
      </c>
      <c r="C26" s="2">
        <v>50</v>
      </c>
      <c r="D26" s="2" t="s">
        <v>20</v>
      </c>
      <c r="E26" s="2" t="s">
        <v>74</v>
      </c>
      <c r="F26" s="2" t="s">
        <v>75</v>
      </c>
      <c r="G26" s="2" t="s">
        <v>23</v>
      </c>
      <c r="H26" s="2" t="s">
        <v>91</v>
      </c>
      <c r="I26" s="2" t="s">
        <v>153</v>
      </c>
      <c r="J26" s="2" t="s">
        <v>147</v>
      </c>
      <c r="K26" s="2" t="s">
        <v>27</v>
      </c>
      <c r="L26" s="2">
        <v>1</v>
      </c>
      <c r="M26" s="2">
        <v>48000</v>
      </c>
      <c r="N26" s="2">
        <v>0</v>
      </c>
      <c r="O26" s="2" t="s">
        <v>28</v>
      </c>
      <c r="P26" s="2" t="s">
        <v>49</v>
      </c>
      <c r="Q26" s="2" t="s">
        <v>41</v>
      </c>
      <c r="R26" s="2">
        <v>4.7</v>
      </c>
      <c r="S26" s="2">
        <f t="shared" si="1"/>
        <v>48000</v>
      </c>
      <c r="T26" s="2">
        <f t="shared" si="2"/>
        <v>0</v>
      </c>
      <c r="U26" s="2">
        <f t="shared" si="3"/>
        <v>48000</v>
      </c>
      <c r="V26" s="2">
        <f t="shared" si="0"/>
        <v>3</v>
      </c>
      <c r="W26" s="2" t="str">
        <f t="shared" si="4"/>
        <v>Senior</v>
      </c>
      <c r="X26" s="2" t="str">
        <f t="shared" si="5"/>
        <v>Speed</v>
      </c>
      <c r="Y26" s="2" t="str">
        <f t="shared" si="6"/>
        <v>Gold</v>
      </c>
      <c r="Z26" s="2" t="str">
        <f t="shared" si="7"/>
        <v>Excellent</v>
      </c>
      <c r="AA26" s="2">
        <f t="shared" si="8"/>
        <v>0</v>
      </c>
      <c r="AB26" s="2">
        <f t="shared" si="9"/>
        <v>2</v>
      </c>
      <c r="AC26" s="2">
        <f t="shared" si="10"/>
        <v>2024</v>
      </c>
      <c r="AD26" s="2" t="str">
        <f t="shared" si="11"/>
        <v>17-Feb-2024</v>
      </c>
      <c r="AE26" s="2" t="str">
        <f t="shared" si="12"/>
        <v>Vijay Das,Kolkata</v>
      </c>
      <c r="AF26" s="2" t="str">
        <f t="shared" si="13"/>
        <v>VIJAY DAS</v>
      </c>
      <c r="AG26" s="2">
        <f t="shared" si="14"/>
        <v>9</v>
      </c>
      <c r="AH26" s="2" t="str">
        <f t="shared" si="15"/>
        <v>025</v>
      </c>
      <c r="AI26" s="2" t="str">
        <f t="shared" si="16"/>
        <v>Electronics&gt;Camera</v>
      </c>
    </row>
    <row r="27" spans="1:35" x14ac:dyDescent="0.3">
      <c r="A27" s="3" t="s">
        <v>154</v>
      </c>
      <c r="B27" s="3" t="s">
        <v>155</v>
      </c>
      <c r="C27" s="3">
        <v>26</v>
      </c>
      <c r="D27" s="3" t="s">
        <v>33</v>
      </c>
      <c r="E27" s="3" t="s">
        <v>82</v>
      </c>
      <c r="F27" s="3" t="s">
        <v>83</v>
      </c>
      <c r="G27" s="3" t="s">
        <v>76</v>
      </c>
      <c r="H27" s="3" t="s">
        <v>100</v>
      </c>
      <c r="I27" s="3" t="s">
        <v>156</v>
      </c>
      <c r="J27" s="3" t="s">
        <v>157</v>
      </c>
      <c r="K27" s="3" t="s">
        <v>79</v>
      </c>
      <c r="L27" s="3">
        <v>4</v>
      </c>
      <c r="M27" s="3">
        <v>750</v>
      </c>
      <c r="N27" s="3">
        <v>5</v>
      </c>
      <c r="O27" s="3" t="s">
        <v>28</v>
      </c>
      <c r="P27" s="3" t="s">
        <v>29</v>
      </c>
      <c r="Q27" s="3" t="s">
        <v>30</v>
      </c>
      <c r="R27" s="3">
        <v>4.0999999999999996</v>
      </c>
      <c r="S27" s="2">
        <f t="shared" si="1"/>
        <v>3000</v>
      </c>
      <c r="T27" s="2">
        <f t="shared" si="2"/>
        <v>150</v>
      </c>
      <c r="U27" s="2">
        <f t="shared" si="3"/>
        <v>2850</v>
      </c>
      <c r="V27" s="2">
        <f t="shared" si="0"/>
        <v>5</v>
      </c>
      <c r="W27" s="2" t="str">
        <f t="shared" si="4"/>
        <v>Adult</v>
      </c>
      <c r="X27" s="2" t="str">
        <f t="shared" si="5"/>
        <v>Normal</v>
      </c>
      <c r="Y27" s="2" t="str">
        <f t="shared" si="6"/>
        <v>Bronze</v>
      </c>
      <c r="Z27" s="2" t="str">
        <f t="shared" si="7"/>
        <v>Good</v>
      </c>
      <c r="AA27" s="2">
        <f t="shared" si="8"/>
        <v>0</v>
      </c>
      <c r="AB27" s="2">
        <f t="shared" si="9"/>
        <v>2</v>
      </c>
      <c r="AC27" s="2">
        <f t="shared" si="10"/>
        <v>2024</v>
      </c>
      <c r="AD27" s="2" t="str">
        <f t="shared" si="11"/>
        <v>19-Feb-2024</v>
      </c>
      <c r="AE27" s="2" t="str">
        <f t="shared" si="12"/>
        <v>Kavitha Nair,Jaipur</v>
      </c>
      <c r="AF27" s="2" t="str">
        <f t="shared" si="13"/>
        <v>KAVITHA NAIR</v>
      </c>
      <c r="AG27" s="2">
        <f t="shared" si="14"/>
        <v>12</v>
      </c>
      <c r="AH27" s="2" t="str">
        <f t="shared" si="15"/>
        <v>026</v>
      </c>
      <c r="AI27" s="2" t="str">
        <f t="shared" si="16"/>
        <v>Books&gt;Non-Fiction</v>
      </c>
    </row>
    <row r="28" spans="1:35" x14ac:dyDescent="0.3">
      <c r="A28" s="2" t="s">
        <v>158</v>
      </c>
      <c r="B28" s="2" t="s">
        <v>159</v>
      </c>
      <c r="C28" s="2">
        <v>37</v>
      </c>
      <c r="D28" s="2" t="s">
        <v>20</v>
      </c>
      <c r="E28" s="2" t="s">
        <v>89</v>
      </c>
      <c r="F28" s="2" t="s">
        <v>90</v>
      </c>
      <c r="G28" s="2" t="s">
        <v>35</v>
      </c>
      <c r="H28" s="2" t="s">
        <v>69</v>
      </c>
      <c r="I28" s="2" t="s">
        <v>160</v>
      </c>
      <c r="J28" s="2" t="s">
        <v>161</v>
      </c>
      <c r="K28" s="2" t="s">
        <v>39</v>
      </c>
      <c r="L28" s="2">
        <v>2</v>
      </c>
      <c r="M28" s="2">
        <v>2300</v>
      </c>
      <c r="N28" s="2">
        <v>10</v>
      </c>
      <c r="O28" s="2" t="s">
        <v>28</v>
      </c>
      <c r="P28" s="2" t="s">
        <v>40</v>
      </c>
      <c r="Q28" s="2" t="s">
        <v>30</v>
      </c>
      <c r="R28" s="2">
        <v>4.3</v>
      </c>
      <c r="S28" s="2">
        <f t="shared" si="1"/>
        <v>4600</v>
      </c>
      <c r="T28" s="2">
        <f t="shared" si="2"/>
        <v>460</v>
      </c>
      <c r="U28" s="2">
        <f t="shared" si="3"/>
        <v>4140</v>
      </c>
      <c r="V28" s="2">
        <f t="shared" si="0"/>
        <v>5</v>
      </c>
      <c r="W28" s="2" t="str">
        <f t="shared" si="4"/>
        <v>Adult</v>
      </c>
      <c r="X28" s="2" t="str">
        <f t="shared" si="5"/>
        <v>Normal</v>
      </c>
      <c r="Y28" s="2" t="str">
        <f t="shared" si="6"/>
        <v>Bronze</v>
      </c>
      <c r="Z28" s="2" t="str">
        <f t="shared" si="7"/>
        <v>Good</v>
      </c>
      <c r="AA28" s="2">
        <f t="shared" si="8"/>
        <v>0</v>
      </c>
      <c r="AB28" s="2">
        <f t="shared" si="9"/>
        <v>2</v>
      </c>
      <c r="AC28" s="2">
        <f t="shared" si="10"/>
        <v>2024</v>
      </c>
      <c r="AD28" s="2" t="str">
        <f t="shared" si="11"/>
        <v>21-Feb-2024</v>
      </c>
      <c r="AE28" s="2" t="str">
        <f t="shared" si="12"/>
        <v>Manoj Patel,Ahmedabad</v>
      </c>
      <c r="AF28" s="2" t="str">
        <f t="shared" si="13"/>
        <v>MANOJ PATEL</v>
      </c>
      <c r="AG28" s="2">
        <f t="shared" si="14"/>
        <v>11</v>
      </c>
      <c r="AH28" s="2" t="str">
        <f t="shared" si="15"/>
        <v>027</v>
      </c>
      <c r="AI28" s="2" t="str">
        <f t="shared" si="16"/>
        <v>Clothing&gt;Western Wear</v>
      </c>
    </row>
    <row r="29" spans="1:35" x14ac:dyDescent="0.3">
      <c r="A29" s="3" t="s">
        <v>162</v>
      </c>
      <c r="B29" s="3" t="s">
        <v>163</v>
      </c>
      <c r="C29" s="3">
        <v>53</v>
      </c>
      <c r="D29" s="3" t="s">
        <v>33</v>
      </c>
      <c r="E29" s="3" t="s">
        <v>21</v>
      </c>
      <c r="F29" s="3" t="s">
        <v>22</v>
      </c>
      <c r="G29" s="3" t="s">
        <v>54</v>
      </c>
      <c r="H29" s="3" t="s">
        <v>108</v>
      </c>
      <c r="I29" s="3" t="s">
        <v>164</v>
      </c>
      <c r="J29" s="3" t="s">
        <v>165</v>
      </c>
      <c r="K29" s="3" t="s">
        <v>39</v>
      </c>
      <c r="L29" s="3">
        <v>4</v>
      </c>
      <c r="M29" s="3">
        <v>5200</v>
      </c>
      <c r="N29" s="3">
        <v>8</v>
      </c>
      <c r="O29" s="3" t="s">
        <v>28</v>
      </c>
      <c r="P29" s="3" t="s">
        <v>29</v>
      </c>
      <c r="Q29" s="3" t="s">
        <v>41</v>
      </c>
      <c r="R29" s="3">
        <v>4.5999999999999996</v>
      </c>
      <c r="S29" s="2">
        <f t="shared" si="1"/>
        <v>20800</v>
      </c>
      <c r="T29" s="2">
        <f t="shared" si="2"/>
        <v>1664</v>
      </c>
      <c r="U29" s="2">
        <f t="shared" si="3"/>
        <v>19136</v>
      </c>
      <c r="V29" s="2">
        <f t="shared" si="0"/>
        <v>7</v>
      </c>
      <c r="W29" s="2" t="str">
        <f t="shared" si="4"/>
        <v>Senior</v>
      </c>
      <c r="X29" s="2" t="str">
        <f t="shared" si="5"/>
        <v>Late</v>
      </c>
      <c r="Y29" s="2" t="str">
        <f t="shared" si="6"/>
        <v>Silver</v>
      </c>
      <c r="Z29" s="2" t="str">
        <f t="shared" si="7"/>
        <v>Excellent</v>
      </c>
      <c r="AA29" s="2">
        <f t="shared" si="8"/>
        <v>0</v>
      </c>
      <c r="AB29" s="2">
        <f t="shared" si="9"/>
        <v>2</v>
      </c>
      <c r="AC29" s="2">
        <f t="shared" si="10"/>
        <v>2024</v>
      </c>
      <c r="AD29" s="2" t="str">
        <f t="shared" si="11"/>
        <v>23-Feb-2024</v>
      </c>
      <c r="AE29" s="2" t="str">
        <f t="shared" si="12"/>
        <v>Geeta Sharma,Mumbai</v>
      </c>
      <c r="AF29" s="2" t="str">
        <f t="shared" si="13"/>
        <v>GEETA SHARMA</v>
      </c>
      <c r="AG29" s="2">
        <f t="shared" si="14"/>
        <v>12</v>
      </c>
      <c r="AH29" s="2" t="str">
        <f t="shared" si="15"/>
        <v>028</v>
      </c>
      <c r="AI29" s="2" t="str">
        <f t="shared" si="16"/>
        <v>Home &amp; Kitchen&gt;Bedding</v>
      </c>
    </row>
    <row r="30" spans="1:35" x14ac:dyDescent="0.3">
      <c r="A30" s="2" t="s">
        <v>166</v>
      </c>
      <c r="B30" s="2" t="s">
        <v>167</v>
      </c>
      <c r="C30" s="2">
        <v>32</v>
      </c>
      <c r="D30" s="2" t="s">
        <v>20</v>
      </c>
      <c r="E30" s="2" t="s">
        <v>34</v>
      </c>
      <c r="F30" s="2" t="s">
        <v>34</v>
      </c>
      <c r="G30" s="2" t="s">
        <v>23</v>
      </c>
      <c r="H30" s="2" t="s">
        <v>64</v>
      </c>
      <c r="I30" s="2" t="s">
        <v>168</v>
      </c>
      <c r="J30" s="2" t="s">
        <v>169</v>
      </c>
      <c r="K30" s="2" t="s">
        <v>27</v>
      </c>
      <c r="L30" s="2">
        <v>1</v>
      </c>
      <c r="M30" s="2">
        <v>35000</v>
      </c>
      <c r="N30" s="2">
        <v>5</v>
      </c>
      <c r="O30" s="2" t="s">
        <v>28</v>
      </c>
      <c r="P30" s="2" t="s">
        <v>49</v>
      </c>
      <c r="Q30" s="2" t="s">
        <v>30</v>
      </c>
      <c r="R30" s="2">
        <v>4.5</v>
      </c>
      <c r="S30" s="2">
        <f t="shared" si="1"/>
        <v>35000</v>
      </c>
      <c r="T30" s="2">
        <f t="shared" si="2"/>
        <v>1750</v>
      </c>
      <c r="U30" s="2">
        <f t="shared" si="3"/>
        <v>33250</v>
      </c>
      <c r="V30" s="2">
        <f t="shared" si="0"/>
        <v>3</v>
      </c>
      <c r="W30" s="2" t="str">
        <f t="shared" si="4"/>
        <v>Adult</v>
      </c>
      <c r="X30" s="2" t="str">
        <f t="shared" si="5"/>
        <v>Speed</v>
      </c>
      <c r="Y30" s="2" t="str">
        <f t="shared" si="6"/>
        <v>Gold</v>
      </c>
      <c r="Z30" s="2" t="str">
        <f t="shared" si="7"/>
        <v>Excellent</v>
      </c>
      <c r="AA30" s="2">
        <f t="shared" si="8"/>
        <v>1</v>
      </c>
      <c r="AB30" s="2">
        <f t="shared" si="9"/>
        <v>2</v>
      </c>
      <c r="AC30" s="2">
        <f t="shared" si="10"/>
        <v>2024</v>
      </c>
      <c r="AD30" s="2" t="str">
        <f t="shared" si="11"/>
        <v>25-Feb-2024</v>
      </c>
      <c r="AE30" s="2" t="str">
        <f t="shared" si="12"/>
        <v>Ravi Verma,Delhi</v>
      </c>
      <c r="AF30" s="2" t="str">
        <f t="shared" si="13"/>
        <v>RAVI VERMA</v>
      </c>
      <c r="AG30" s="2">
        <f t="shared" si="14"/>
        <v>10</v>
      </c>
      <c r="AH30" s="2" t="str">
        <f t="shared" si="15"/>
        <v>029</v>
      </c>
      <c r="AI30" s="2" t="str">
        <f t="shared" si="16"/>
        <v>Electronics&gt;Tablet</v>
      </c>
    </row>
    <row r="31" spans="1:35" x14ac:dyDescent="0.3">
      <c r="A31" s="3" t="s">
        <v>170</v>
      </c>
      <c r="B31" s="3" t="s">
        <v>171</v>
      </c>
      <c r="C31" s="3">
        <v>46</v>
      </c>
      <c r="D31" s="3" t="s">
        <v>33</v>
      </c>
      <c r="E31" s="3" t="s">
        <v>44</v>
      </c>
      <c r="F31" s="3" t="s">
        <v>45</v>
      </c>
      <c r="G31" s="3" t="s">
        <v>35</v>
      </c>
      <c r="H31" s="3" t="s">
        <v>95</v>
      </c>
      <c r="I31" s="3" t="s">
        <v>172</v>
      </c>
      <c r="J31" s="3" t="s">
        <v>173</v>
      </c>
      <c r="K31" s="3" t="s">
        <v>39</v>
      </c>
      <c r="L31" s="3">
        <v>3</v>
      </c>
      <c r="M31" s="3">
        <v>3100</v>
      </c>
      <c r="N31" s="3">
        <v>12</v>
      </c>
      <c r="O31" s="3" t="s">
        <v>58</v>
      </c>
      <c r="P31" s="3" t="s">
        <v>59</v>
      </c>
      <c r="Q31" s="3" t="s">
        <v>30</v>
      </c>
      <c r="R31" s="3">
        <v>3.6</v>
      </c>
      <c r="S31" s="2">
        <f t="shared" si="1"/>
        <v>9300</v>
      </c>
      <c r="T31" s="2">
        <f t="shared" si="2"/>
        <v>1116</v>
      </c>
      <c r="U31" s="2">
        <f t="shared" si="3"/>
        <v>8184</v>
      </c>
      <c r="V31" s="2">
        <f t="shared" si="0"/>
        <v>6</v>
      </c>
      <c r="W31" s="2" t="str">
        <f t="shared" si="4"/>
        <v>Senior</v>
      </c>
      <c r="X31" s="2" t="str">
        <f t="shared" si="5"/>
        <v>Normal</v>
      </c>
      <c r="Y31" s="2" t="str">
        <f t="shared" si="6"/>
        <v>Silver</v>
      </c>
      <c r="Z31" s="2" t="str">
        <f t="shared" si="7"/>
        <v>Average</v>
      </c>
      <c r="AA31" s="2">
        <f t="shared" si="8"/>
        <v>0</v>
      </c>
      <c r="AB31" s="2">
        <f t="shared" si="9"/>
        <v>2</v>
      </c>
      <c r="AC31" s="2">
        <f t="shared" si="10"/>
        <v>2024</v>
      </c>
      <c r="AD31" s="2" t="str">
        <f t="shared" si="11"/>
        <v>27-Feb-2024</v>
      </c>
      <c r="AE31" s="2" t="str">
        <f t="shared" si="12"/>
        <v>Sonal Mehta,Bangalore</v>
      </c>
      <c r="AF31" s="2" t="str">
        <f t="shared" si="13"/>
        <v>SONAL MEHTA</v>
      </c>
      <c r="AG31" s="2">
        <f t="shared" si="14"/>
        <v>11</v>
      </c>
      <c r="AH31" s="2" t="str">
        <f t="shared" si="15"/>
        <v>030</v>
      </c>
      <c r="AI31" s="2" t="str">
        <f t="shared" si="16"/>
        <v>Clothing&gt;Footwear</v>
      </c>
    </row>
    <row r="41" spans="21:22" x14ac:dyDescent="0.3">
      <c r="U41" s="8" t="s">
        <v>252</v>
      </c>
      <c r="V41" s="8">
        <f>_xlfn.AGGREGATE(9,6,U2:U31)</f>
        <v>610120</v>
      </c>
    </row>
    <row r="44" spans="21:22" x14ac:dyDescent="0.3">
      <c r="U44" s="9" t="s">
        <v>253</v>
      </c>
      <c r="V44" s="10">
        <f>_xlfn.AGGREGATE(1,6,U2:U31)</f>
        <v>20337.333333333332</v>
      </c>
    </row>
    <row r="47" spans="21:22" x14ac:dyDescent="0.3">
      <c r="U47" s="11" t="s">
        <v>254</v>
      </c>
      <c r="V47" s="11">
        <f>COUNTIF(O2:O31,"Yes")</f>
        <v>6</v>
      </c>
    </row>
    <row r="50" spans="14:22" x14ac:dyDescent="0.3">
      <c r="U50" s="12" t="s">
        <v>255</v>
      </c>
      <c r="V50" s="12">
        <f>COUNTIFS(D2:D31,"Female",Q2:Q31,"Premium")</f>
        <v>4</v>
      </c>
    </row>
    <row r="53" spans="14:22" x14ac:dyDescent="0.3">
      <c r="U53" s="14" t="s">
        <v>256</v>
      </c>
      <c r="V53" s="14">
        <f>SUMIFS(U2:U31,K2:K31,"Express",G2:G31,"Electronics")</f>
        <v>465500</v>
      </c>
    </row>
    <row r="56" spans="14:22" x14ac:dyDescent="0.3">
      <c r="U56" s="15" t="s">
        <v>257</v>
      </c>
      <c r="V56" s="15">
        <f>_xlfn.MAXIFS(U2:U31,G2:G31,"Clothing")</f>
        <v>8184</v>
      </c>
    </row>
    <row r="59" spans="14:22" x14ac:dyDescent="0.3">
      <c r="U59" s="16" t="s">
        <v>258</v>
      </c>
      <c r="V59" s="16">
        <f>_xlfn.MINIFS(U2:U31,G2:G31,"Electronics")</f>
        <v>16150</v>
      </c>
    </row>
    <row r="63" spans="14:22" x14ac:dyDescent="0.3">
      <c r="U63" s="9" t="s">
        <v>259</v>
      </c>
      <c r="V63" s="9">
        <f>MEDIAN(U2:U31)</f>
        <v>8140</v>
      </c>
    </row>
    <row r="64" spans="14:22" x14ac:dyDescent="0.3">
      <c r="N64" s="20" t="s">
        <v>264</v>
      </c>
      <c r="O64" s="20">
        <f>SUBTOTAL(9,U2:U31,G2:G31)</f>
        <v>610120</v>
      </c>
    </row>
    <row r="66" spans="14:22" x14ac:dyDescent="0.3">
      <c r="N66" s="21" t="s">
        <v>265</v>
      </c>
      <c r="O66" s="21">
        <f>SUBTOTAL(1,R2:R31)</f>
        <v>4.2300000000000004</v>
      </c>
      <c r="U66" s="9" t="s">
        <v>260</v>
      </c>
      <c r="V66" s="9">
        <f>_xlfn.STDEV.S(U2:U31)</f>
        <v>21446.653878279303</v>
      </c>
    </row>
    <row r="68" spans="14:22" x14ac:dyDescent="0.3">
      <c r="U68" s="17" t="s">
        <v>261</v>
      </c>
      <c r="V68" s="17">
        <f>_xlfn.QUARTILE.EXC(U2:U31,1)</f>
        <v>4707.5</v>
      </c>
    </row>
    <row r="69" spans="14:22" x14ac:dyDescent="0.3">
      <c r="N69" s="22" t="s">
        <v>266</v>
      </c>
      <c r="O69" s="22">
        <f>SUBTOTAL(4,U2:U31)</f>
        <v>72000</v>
      </c>
    </row>
    <row r="71" spans="14:22" x14ac:dyDescent="0.3">
      <c r="N71" s="23" t="s">
        <v>267</v>
      </c>
      <c r="O71" s="23">
        <f>SUBTOTAL(5,U2:U31)</f>
        <v>1950</v>
      </c>
      <c r="U71" s="18" t="s">
        <v>262</v>
      </c>
      <c r="V71" s="18">
        <f>_xlfn.QUARTILE.EXC(U2:U31,3)</f>
        <v>36187.5</v>
      </c>
    </row>
    <row r="74" spans="14:22" x14ac:dyDescent="0.3">
      <c r="N74" s="24" t="s">
        <v>268</v>
      </c>
      <c r="O74" s="24">
        <f>_xlfn.AGGREGATE(9,5,U2:U31)</f>
        <v>610120</v>
      </c>
      <c r="U74" s="19" t="s">
        <v>263</v>
      </c>
      <c r="V74" s="19">
        <f>_xlfn.MODE.SNGL(R2:R31)</f>
        <v>4.5</v>
      </c>
    </row>
    <row r="77" spans="14:22" x14ac:dyDescent="0.3">
      <c r="N77" s="23" t="s">
        <v>269</v>
      </c>
      <c r="O77" s="23">
        <f>_xlfn.AGGREGATE(1,7,U2:U31)</f>
        <v>20337.333333333332</v>
      </c>
    </row>
    <row r="82" spans="14:15" x14ac:dyDescent="0.3">
      <c r="N82" s="25" t="s">
        <v>270</v>
      </c>
      <c r="O82" s="25">
        <f>VLOOKUP(A16,A2:AB31,21)</f>
        <v>55000</v>
      </c>
    </row>
    <row r="85" spans="14:15" x14ac:dyDescent="0.3">
      <c r="N85" s="25" t="s">
        <v>271</v>
      </c>
      <c r="O85" s="25" t="str">
        <f>_xlfn.XLOOKUP(B9,B2:B31,P2:P31)</f>
        <v>Credit Card</v>
      </c>
    </row>
    <row r="88" spans="14:15" x14ac:dyDescent="0.3">
      <c r="N88" s="24" t="s">
        <v>272</v>
      </c>
      <c r="O88" s="24" t="str">
        <f>_xlfn.XLOOKUP(MIN(R2:R31),R2:R31,B2:B31)</f>
        <v>Meera Joshi</v>
      </c>
    </row>
    <row r="91" spans="14:15" x14ac:dyDescent="0.3">
      <c r="N91" t="s">
        <v>271</v>
      </c>
      <c r="O91" t="str">
        <f>_xlfn.XLOOKUP(MAX(U2:U31),U2:U31,G2:G31)</f>
        <v>Electronics</v>
      </c>
    </row>
  </sheetData>
  <conditionalFormatting sqref="A2:AI31">
    <cfRule type="expression" dxfId="3" priority="1">
      <formula>O2="Yes"</formula>
    </cfRule>
  </conditionalFormatting>
  <conditionalFormatting sqref="A2:AJ31">
    <cfRule type="expression" dxfId="2" priority="2">
      <formula>$O1048549="Yes"</formula>
    </cfRule>
  </conditionalFormatting>
  <conditionalFormatting sqref="M2:M31">
    <cfRule type="cellIs" dxfId="1" priority="7" operator="greaterThan">
      <formula>40000</formula>
    </cfRule>
  </conditionalFormatting>
  <conditionalFormatting sqref="R2:R31"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{B30017C4-A65B-454B-88BC-48C755711200}</x14:id>
        </ext>
      </extLst>
    </cfRule>
  </conditionalFormatting>
  <conditionalFormatting sqref="R5:R31">
    <cfRule type="iconSet" priority="6">
      <iconSet iconSet="3Arrows">
        <cfvo type="percent" val="0"/>
        <cfvo type="percent" val="33"/>
        <cfvo type="percent" val="67"/>
      </iconSe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{45F242DF-735F-47CE-82A5-F08EF472E7C3}</x14:id>
        </ext>
      </extLst>
    </cfRule>
  </conditionalFormatting>
  <conditionalFormatting sqref="U2:U31">
    <cfRule type="top10" dxfId="0" priority="3" rank="5"/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0017C4-A65B-454B-88BC-48C755711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R2:R31</xm:sqref>
        </x14:conditionalFormatting>
        <x14:conditionalFormatting xmlns:xm="http://schemas.microsoft.com/office/excel/2006/main">
          <x14:cfRule type="dataBar" id="{45F242DF-735F-47CE-82A5-F08EF472E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R5:R31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Tasks</vt:lpstr>
      <vt:lpstr>Sheet1</vt:lpstr>
      <vt:lpstr>Sheet2</vt:lpstr>
      <vt:lpstr>Ecommerce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behera</cp:lastModifiedBy>
  <dcterms:created xsi:type="dcterms:W3CDTF">2026-06-08T09:19:34Z</dcterms:created>
  <dcterms:modified xsi:type="dcterms:W3CDTF">2026-06-13T05:34:48Z</dcterms:modified>
</cp:coreProperties>
</file>