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eher\Downloads\"/>
    </mc:Choice>
  </mc:AlternateContent>
  <xr:revisionPtr revIDLastSave="0" documentId="13_ncr:1_{12BFDC32-1189-4950-BC98-CDEE73C79A4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Unique Department " sheetId="3" r:id="rId1"/>
    <sheet name="Sales Data" sheetId="1" r:id="rId2"/>
    <sheet name="📋 Tasks" sheetId="2" r:id="rId3"/>
  </sheets>
  <definedNames>
    <definedName name="_xlnm._FilterDatabase" localSheetId="1" hidden="1">'Sales Data'!$A$1:$W$16</definedName>
    <definedName name="_xlchart.v1.0" hidden="1">'Sales Data'!$N$1</definedName>
    <definedName name="_xlchart.v1.1" hidden="1">'Sales Data'!$N$2:$N$59</definedName>
    <definedName name="_xlchart.v1.2" hidden="1">'Sales Data'!$N$1</definedName>
    <definedName name="_xlchart.v1.3" hidden="1">'Sales Data'!$N$2:$N$59</definedName>
  </definedName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M31" i="1"/>
  <c r="M28" i="1"/>
  <c r="M26" i="1"/>
  <c r="V8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2" i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2" i="1"/>
  <c r="Q2" i="1" s="1"/>
  <c r="O2" i="1"/>
  <c r="V2" i="1" s="1"/>
  <c r="O3" i="1"/>
  <c r="V3" i="1" s="1"/>
  <c r="O4" i="1"/>
  <c r="V4" i="1" s="1"/>
  <c r="O5" i="1"/>
  <c r="V5" i="1" s="1"/>
  <c r="O6" i="1"/>
  <c r="V6" i="1" s="1"/>
  <c r="O7" i="1"/>
  <c r="V7" i="1" s="1"/>
  <c r="O8" i="1"/>
  <c r="O9" i="1"/>
  <c r="V9" i="1" s="1"/>
  <c r="O10" i="1"/>
  <c r="V10" i="1" s="1"/>
  <c r="O11" i="1"/>
  <c r="V11" i="1" s="1"/>
  <c r="O12" i="1"/>
  <c r="V12" i="1" s="1"/>
  <c r="O13" i="1"/>
  <c r="V13" i="1" s="1"/>
  <c r="O14" i="1"/>
  <c r="V14" i="1" s="1"/>
  <c r="O15" i="1"/>
  <c r="V15" i="1" s="1"/>
  <c r="O16" i="1"/>
  <c r="V16" i="1" s="1"/>
  <c r="N3" i="1"/>
  <c r="W3" i="1" s="1"/>
  <c r="N4" i="1"/>
  <c r="W4" i="1" s="1"/>
  <c r="N5" i="1"/>
  <c r="U5" i="1" s="1"/>
  <c r="N6" i="1"/>
  <c r="W6" i="1" s="1"/>
  <c r="N7" i="1"/>
  <c r="W7" i="1" s="1"/>
  <c r="N8" i="1"/>
  <c r="U8" i="1" s="1"/>
  <c r="N9" i="1"/>
  <c r="U9" i="1" s="1"/>
  <c r="N10" i="1"/>
  <c r="U10" i="1" s="1"/>
  <c r="N11" i="1"/>
  <c r="W11" i="1" s="1"/>
  <c r="N12" i="1"/>
  <c r="U12" i="1" s="1"/>
  <c r="N13" i="1"/>
  <c r="W13" i="1" s="1"/>
  <c r="N14" i="1"/>
  <c r="W14" i="1" s="1"/>
  <c r="N15" i="1"/>
  <c r="U15" i="1" s="1"/>
  <c r="N16" i="1"/>
  <c r="W16" i="1" s="1"/>
  <c r="N2" i="1"/>
  <c r="U11" i="1" l="1"/>
  <c r="U4" i="1"/>
  <c r="W15" i="1"/>
  <c r="U3" i="1"/>
  <c r="W12" i="1"/>
  <c r="U7" i="1"/>
  <c r="M59" i="1"/>
  <c r="U2" i="1"/>
  <c r="U6" i="1"/>
  <c r="W2" i="1"/>
  <c r="W5" i="1"/>
  <c r="U16" i="1"/>
  <c r="M37" i="1"/>
  <c r="F30" i="1"/>
  <c r="M24" i="1"/>
  <c r="W10" i="1"/>
  <c r="M34" i="1"/>
  <c r="U13" i="1"/>
  <c r="M40" i="1"/>
  <c r="F33" i="1"/>
  <c r="W9" i="1"/>
  <c r="U14" i="1"/>
  <c r="W8" i="1"/>
  <c r="M44" i="1"/>
  <c r="M47" i="1"/>
  <c r="M51" i="1"/>
  <c r="M55" i="1"/>
  <c r="M22" i="1"/>
</calcChain>
</file>

<file path=xl/sharedStrings.xml><?xml version="1.0" encoding="utf-8"?>
<sst xmlns="http://schemas.openxmlformats.org/spreadsheetml/2006/main" count="250" uniqueCount="172">
  <si>
    <t>EmpID</t>
  </si>
  <si>
    <t>Name</t>
  </si>
  <si>
    <t>Department</t>
  </si>
  <si>
    <t>Region</t>
  </si>
  <si>
    <t>Gender</t>
  </si>
  <si>
    <t>JoinDate</t>
  </si>
  <si>
    <t>Sales_Jan</t>
  </si>
  <si>
    <t>Sales_Feb</t>
  </si>
  <si>
    <t>Sales_Mar</t>
  </si>
  <si>
    <t>Product</t>
  </si>
  <si>
    <t>UnitPrice</t>
  </si>
  <si>
    <t>UnitsSold</t>
  </si>
  <si>
    <t>Bonus%</t>
  </si>
  <si>
    <t>E001</t>
  </si>
  <si>
    <t>Aarav Shah</t>
  </si>
  <si>
    <t>IT</t>
  </si>
  <si>
    <t>North</t>
  </si>
  <si>
    <t>Male</t>
  </si>
  <si>
    <t>2021-03-15</t>
  </si>
  <si>
    <t>Laptop</t>
  </si>
  <si>
    <t>E002</t>
  </si>
  <si>
    <t>Priya Reddy</t>
  </si>
  <si>
    <t>HR</t>
  </si>
  <si>
    <t>South</t>
  </si>
  <si>
    <t>Female</t>
  </si>
  <si>
    <t>2020-07-01</t>
  </si>
  <si>
    <t>Headset</t>
  </si>
  <si>
    <t>E003</t>
  </si>
  <si>
    <t>Rohit Kumar</t>
  </si>
  <si>
    <t>Sales</t>
  </si>
  <si>
    <t>East</t>
  </si>
  <si>
    <t>2019-11-20</t>
  </si>
  <si>
    <t>Mobile</t>
  </si>
  <si>
    <t>E004</t>
  </si>
  <si>
    <t>Sneha Iyer</t>
  </si>
  <si>
    <t>Finance</t>
  </si>
  <si>
    <t>West</t>
  </si>
  <si>
    <t>2022-01-10</t>
  </si>
  <si>
    <t>Tablet</t>
  </si>
  <si>
    <t>E005</t>
  </si>
  <si>
    <t>Karan Mehta</t>
  </si>
  <si>
    <t>2021-06-30</t>
  </si>
  <si>
    <t>E006</t>
  </si>
  <si>
    <t>Divya Nair</t>
  </si>
  <si>
    <t>2020-09-14</t>
  </si>
  <si>
    <t>Monitor</t>
  </si>
  <si>
    <t>E007</t>
  </si>
  <si>
    <t>Arjun Patel</t>
  </si>
  <si>
    <t>2023-02-01</t>
  </si>
  <si>
    <t>Keyboard</t>
  </si>
  <si>
    <t>E008</t>
  </si>
  <si>
    <t>Meera Joshi</t>
  </si>
  <si>
    <t>2018-05-22</t>
  </si>
  <si>
    <t>E009</t>
  </si>
  <si>
    <t>Vikram Singh</t>
  </si>
  <si>
    <t>2021-12-05</t>
  </si>
  <si>
    <t>E010</t>
  </si>
  <si>
    <t>Ananya Das</t>
  </si>
  <si>
    <t>2022-08-17</t>
  </si>
  <si>
    <t>E011</t>
  </si>
  <si>
    <t>Rahul Verma</t>
  </si>
  <si>
    <t>2019-04-30</t>
  </si>
  <si>
    <t>E012</t>
  </si>
  <si>
    <t>Pooja Sharma</t>
  </si>
  <si>
    <t>2020-11-11</t>
  </si>
  <si>
    <t>E013</t>
  </si>
  <si>
    <t>Nikhil Rao</t>
  </si>
  <si>
    <t>2021-08-08</t>
  </si>
  <si>
    <t>E014</t>
  </si>
  <si>
    <t>Kavya Pillai</t>
  </si>
  <si>
    <t>2022-03-25</t>
  </si>
  <si>
    <t>E015</t>
  </si>
  <si>
    <t>Siddharth Jain</t>
  </si>
  <si>
    <t>2020-06-19</t>
  </si>
  <si>
    <t>🎯 Excel Practice Exercise — Sales Dataset</t>
  </si>
  <si>
    <t>Complete each task in the 'Sales Data' sheet. Work on your own — ask for help only if truly stuck!</t>
  </si>
  <si>
    <t>📁 SECTION 1 — Basics &amp; Formatting</t>
  </si>
  <si>
    <t>1. Freeze the top header row so it stays visible when you scroll down.</t>
  </si>
  <si>
    <t>💡 Hint: Home → View → Freeze Panes → Freeze Top Row</t>
  </si>
  <si>
    <t>☐ Done</t>
  </si>
  <si>
    <t>2. Make all header cells (row 1) Bold and change the font colour to White.</t>
  </si>
  <si>
    <t>💡 Hint: Home → Font group → B and Font Color</t>
  </si>
  <si>
    <t>3. Add a new column N called 'Total_Sales' and use a formula to add Jan+Feb+Mar sales for each employee.</t>
  </si>
  <si>
    <t>💡 Hint: =G2+H2+I2  or  =SUM(G2:I2)</t>
  </si>
  <si>
    <t>4. In column O, add 'Avg_Sales' — average of Jan, Feb, Mar for each employee.</t>
  </si>
  <si>
    <t>💡 Hint: =AVERAGE(G2:I2)</t>
  </si>
  <si>
    <t>5. Format column K (UnitPrice) as Currency (₹).</t>
  </si>
  <si>
    <t>💡 Hint: Select K2:K16 → Home → $ button</t>
  </si>
  <si>
    <t>🔢 SECTION 2 — Formulas &amp; Calculations</t>
  </si>
  <si>
    <t>6. In column P, add 'Revenue' = UnitPrice × UnitsSold for each employee.</t>
  </si>
  <si>
    <t>💡 Hint: =K2*L2</t>
  </si>
  <si>
    <t>7. In column Q, add 'Bonus_Amount' = Total_Sales × Bonus% / 100.</t>
  </si>
  <si>
    <t>💡 Hint: =N2*M2/100</t>
  </si>
  <si>
    <t>8. In a separate area (say R1:R2), use CONCATENATE or &amp; to combine Name + Department.
   E.g. → 'Aarav Shah - IT'</t>
  </si>
  <si>
    <t>💡 Hint: =B2&amp;" - "&amp;C2</t>
  </si>
  <si>
    <t>9. Extract only the YEAR from the JoinDate column into column S.</t>
  </si>
  <si>
    <t>💡 Hint: =YEAR(F2)</t>
  </si>
  <si>
    <t>10. In column T, use RIGHT() to extract the last 3 characters of EmpID.</t>
  </si>
  <si>
    <t>💡 Hint: =RIGHT(A2,3)</t>
  </si>
  <si>
    <t>🔍 SECTION 3 — Logical Functions</t>
  </si>
  <si>
    <t>11. In column U, use IF to label each employee: if Total_Sales &gt; 200000 → 'Top Performer', else → 'Regular'.</t>
  </si>
  <si>
    <t>💡 Hint: =IF(N2&gt;200000,"Top Performer","Regular")</t>
  </si>
  <si>
    <t>12. In column V, use nested IF or IFS to assign a Grade:
   Avg_Sales ≥ 80000 → A  |  ≥ 60000 → B  |  ≥ 40000 → C  |  else → D</t>
  </si>
  <si>
    <t>💡 Hint: =IFS(O2&gt;=80000,"A",O2&gt;=60000,"B",O2&gt;=40000,"C",TRUE,"D")</t>
  </si>
  <si>
    <t>13. In column W, use AND: Mark 'Yes' if employee is in Sales dept AND Total_Sales &gt; 200000.</t>
  </si>
  <si>
    <t>💡 Hint: =IF(AND(C2="Sales",N2&gt;200000),"Yes","No")</t>
  </si>
  <si>
    <t>📊 SECTION 4 — Aggregation &amp; Stats</t>
  </si>
  <si>
    <t>14. Find the TOTAL revenue across all employees (use SUM).</t>
  </si>
  <si>
    <t>💡 Hint: =SUM(P2:P16)</t>
  </si>
  <si>
    <t>15. Find AVERAGE bonus amount across all employees.</t>
  </si>
  <si>
    <t>💡 Hint: =AVERAGE(Q2:Q16)</t>
  </si>
  <si>
    <t>16. COUNT how many employees are in the 'Sales' department using COUNTIF.</t>
  </si>
  <si>
    <t>💡 Hint: =COUNTIF(C2:C16,"Sales")</t>
  </si>
  <si>
    <t>17. Use COUNTIFS to count Female employees in the North region.</t>
  </si>
  <si>
    <t>💡 Hint: =COUNTIFS(E2:E16,"Female",D2:D16,"North")</t>
  </si>
  <si>
    <t>18. Use SUMIF to find total Sales_Jan for the IT department only.</t>
  </si>
  <si>
    <t>💡 Hint: =SUMIF(C2:C16,"IT",G2:G16)</t>
  </si>
  <si>
    <t>19. Use SUMIFS to find total Revenue where Department=Sales AND Region=East.</t>
  </si>
  <si>
    <t>💡 Hint: =SUMIFS(P2:P16,C2:C16,"Sales",D2:D16,"East")</t>
  </si>
  <si>
    <t>20. Find the MAX and MIN Total_Sales. Then calculate MEDIAN and STDEV.S.</t>
  </si>
  <si>
    <t>💡 Hint: =MAX(N2:N16)  =MIN(N2:N16)  =MEDIAN(N2:N16)  =STDEV.S(N2:N16)</t>
  </si>
  <si>
    <t>21. Use QUARTILE to find Q1 and Q3 of Total_Sales.</t>
  </si>
  <si>
    <t>💡 Hint: =QUARTILE(N2:N16,1)  and  =QUARTILE(N2:N16,3)</t>
  </si>
  <si>
    <t>🔎 SECTION 5 — Lookup Functions</t>
  </si>
  <si>
    <t>22. Use VLOOKUP to find the Department of employee E007.</t>
  </si>
  <si>
    <t>💡 Hint: =VLOOKUP("E007",A2:M16,3,FALSE)</t>
  </si>
  <si>
    <t>23. Use XLOOKUP to find the Total_Sales of 'Meera Joshi'.</t>
  </si>
  <si>
    <t>💡 Hint: =XLOOKUP("Meera Joshi",B2:B16,N2:N16,"Not Found")</t>
  </si>
  <si>
    <t>🎨 SECTION 6 — Advanced &amp; Charts</t>
  </si>
  <si>
    <t>24. Use UNIQUE to get a list of all unique Departments from column C.</t>
  </si>
  <si>
    <t>💡 Hint: =UNIQUE(C2:C16)</t>
  </si>
  <si>
    <t>25. Use SORT to sort the Name column (B) A to Z.</t>
  </si>
  <si>
    <t>💡 Hint: =SORT(B2:B16)</t>
  </si>
  <si>
    <t>26. Add a Filter to the dataset (Ctrl+Shift+L) and filter to show only 'Sales' department rows.</t>
  </si>
  <si>
    <t>💡 Hint: Data → Filter → Click dept dropdown → select Sales</t>
  </si>
  <si>
    <t>27. Create a Pie Chart showing count of employees per Department.
   (Hint: First make a summary table using COUNTIF for each dept)</t>
  </si>
  <si>
    <t>💡 Hint: Insert → Charts → Pie</t>
  </si>
  <si>
    <t>28. Create a Bar/Column Chart comparing Total_Sales of all 15 employees.</t>
  </si>
  <si>
    <t>💡 Hint: Select Name + Total_Sales → Insert → Column Chart</t>
  </si>
  <si>
    <t>29. Add a Sparkline in column X for each employee showing Jan/Feb/Mar trend.</t>
  </si>
  <si>
    <t>💡 Hint: Insert → Sparklines → Line → select G2:I2 as data range</t>
  </si>
  <si>
    <t>30. Insert a Box &amp; Whisker chart on Total_Sales to visualise the distribution.</t>
  </si>
  <si>
    <t>💡 Hint: Select Total_Sales column → Insert → Statistical Charts → Box &amp; Whisker</t>
  </si>
  <si>
    <t>✅ Done? You've mastered the essentials of Excel!</t>
  </si>
  <si>
    <t>Total_Sales</t>
  </si>
  <si>
    <t>Average_Sales</t>
  </si>
  <si>
    <t>Revenue</t>
  </si>
  <si>
    <t>Bonus_Amount</t>
  </si>
  <si>
    <t xml:space="preserve"> NAME With Dept</t>
  </si>
  <si>
    <t>Join Year</t>
  </si>
  <si>
    <t>Last 3 dig Emp Id</t>
  </si>
  <si>
    <t xml:space="preserve">Performance </t>
  </si>
  <si>
    <t>Grade</t>
  </si>
  <si>
    <t>Dept Check</t>
  </si>
  <si>
    <t xml:space="preserve">Total Revenue </t>
  </si>
  <si>
    <t xml:space="preserve">Average Bonus </t>
  </si>
  <si>
    <t xml:space="preserve">Sales Dept Emp Count </t>
  </si>
  <si>
    <t>Emp from Region</t>
  </si>
  <si>
    <t>Total Sales IT DEPT ONLY</t>
  </si>
  <si>
    <t>Total Revenue Dept and Region</t>
  </si>
  <si>
    <t>Max Total Sales</t>
  </si>
  <si>
    <t>Min Total Sales</t>
  </si>
  <si>
    <t>Mean Total Sales</t>
  </si>
  <si>
    <t>STD of Total Sales</t>
  </si>
  <si>
    <t>Median of Total Sales</t>
  </si>
  <si>
    <t>1ST Quatrile</t>
  </si>
  <si>
    <t>3RD Quatrile</t>
  </si>
  <si>
    <t>VLOOKUP</t>
  </si>
  <si>
    <t>XLOOKUP</t>
  </si>
  <si>
    <t>XLOOKUP2</t>
  </si>
  <si>
    <t>Count of Department</t>
  </si>
  <si>
    <t>Sparkline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</si>
</sst>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[$₹-439]* #,##0.00_ ;_ [$₹-439]* \-#,##0.00_ ;_ [$₹-439]* &quot;-&quot;??_ ;_ @_ 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3"/>
      <color rgb="FFFFFFFF"/>
      <name val="Arial"/>
    </font>
    <font>
      <i/>
      <sz val="10"/>
      <color rgb="FF455A64"/>
      <name val="Arial"/>
    </font>
    <font>
      <b/>
      <sz val="11"/>
      <color rgb="FF1565C0"/>
      <name val="Arial"/>
    </font>
    <font>
      <sz val="10"/>
      <color rgb="FF37474F"/>
      <name val="Arial"/>
    </font>
    <font>
      <i/>
      <sz val="9"/>
      <color rgb="FFE65100"/>
      <name val="Arial"/>
    </font>
    <font>
      <sz val="10"/>
      <color rgb="FF9E9E9E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9E9E9E"/>
      <name val="Arial"/>
      <family val="2"/>
    </font>
    <font>
      <b/>
      <sz val="11"/>
      <color rgb="FFFFFFFF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217346"/>
        <bgColor rgb="FF217346"/>
      </patternFill>
    </fill>
    <fill>
      <patternFill patternType="solid">
        <fgColor rgb="FFE8F5E9"/>
        <bgColor rgb="FFE8F5E9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FFF9C4"/>
        <bgColor rgb="FFFFF9C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5">
    <xf numFmtId="0" fontId="0" fillId="0" borderId="0" xfId="0"/>
    <xf numFmtId="0" fontId="6" fillId="0" borderId="0" xfId="0" applyFont="1" applyAlignment="1">
      <alignment vertical="top" wrapText="1"/>
    </xf>
    <xf numFmtId="0" fontId="7" fillId="6" borderId="0" xfId="0" applyFont="1" applyFill="1" applyAlignment="1">
      <alignment vertical="top" wrapText="1"/>
    </xf>
    <xf numFmtId="0" fontId="8" fillId="0" borderId="0" xfId="0" applyFont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0" fillId="0" borderId="0" xfId="0"/>
    <xf numFmtId="0" fontId="5" fillId="5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center" vertical="center"/>
    </xf>
    <xf numFmtId="165" fontId="0" fillId="0" borderId="0" xfId="0" applyNumberFormat="1"/>
    <xf numFmtId="0" fontId="10" fillId="7" borderId="1" xfId="0" applyFont="1" applyFill="1" applyBorder="1"/>
    <xf numFmtId="0" fontId="10" fillId="8" borderId="1" xfId="0" applyFont="1" applyFill="1" applyBorder="1"/>
    <xf numFmtId="0" fontId="10" fillId="9" borderId="1" xfId="0" applyFont="1" applyFill="1" applyBorder="1"/>
    <xf numFmtId="0" fontId="10" fillId="10" borderId="1" xfId="0" applyFont="1" applyFill="1" applyBorder="1"/>
    <xf numFmtId="0" fontId="10" fillId="11" borderId="1" xfId="0" applyFont="1" applyFill="1" applyBorder="1"/>
    <xf numFmtId="0" fontId="10" fillId="12" borderId="1" xfId="0" applyFont="1" applyFill="1" applyBorder="1"/>
    <xf numFmtId="0" fontId="10" fillId="14" borderId="1" xfId="0" applyFont="1" applyFill="1" applyBorder="1"/>
    <xf numFmtId="0" fontId="10" fillId="13" borderId="1" xfId="0" applyFont="1" applyFill="1" applyBorder="1"/>
    <xf numFmtId="0" fontId="10" fillId="15" borderId="1" xfId="0" applyFont="1" applyFill="1" applyBorder="1"/>
    <xf numFmtId="0" fontId="10" fillId="16" borderId="1" xfId="0" applyFont="1" applyFill="1" applyBorder="1"/>
    <xf numFmtId="0" fontId="10" fillId="17" borderId="1" xfId="0" applyFont="1" applyFill="1" applyBorder="1"/>
    <xf numFmtId="0" fontId="11" fillId="0" borderId="0" xfId="0" applyFont="1" applyAlignment="1">
      <alignment horizontal="center"/>
    </xf>
    <xf numFmtId="0" fontId="10" fillId="18" borderId="1" xfId="0" applyFont="1" applyFill="1" applyBorder="1"/>
    <xf numFmtId="0" fontId="10" fillId="20" borderId="1" xfId="0" applyFont="1" applyFill="1" applyBorder="1"/>
    <xf numFmtId="0" fontId="10" fillId="19" borderId="1" xfId="0" applyFont="1" applyFill="1" applyBorder="1"/>
    <xf numFmtId="0" fontId="0" fillId="0" borderId="0" xfId="0" pivotButton="1"/>
    <xf numFmtId="0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9" fontId="2" fillId="3" borderId="1" xfId="1" applyFont="1" applyFill="1" applyBorder="1" applyAlignment="1">
      <alignment horizontal="center"/>
    </xf>
    <xf numFmtId="1" fontId="2" fillId="3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[Excel_Practice_Exercise.xlsx]Unique Department 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'Unique Department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'Unique Department '!$A$4:$A$7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'Unique Department '!$B$4:$B$7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E-41EF-ACAC-26D6E4FAF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7631200"/>
        <c:axId val="1557638400"/>
      </c:barChart>
      <c:catAx>
        <c:axId val="155763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638400"/>
        <c:crosses val="autoZero"/>
        <c:auto val="1"/>
        <c:lblAlgn val="ctr"/>
        <c:lblOffset val="100"/>
        <c:noMultiLvlLbl val="0"/>
      </c:catAx>
      <c:valAx>
        <c:axId val="155763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63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34853505798856"/>
          <c:y val="0.1129847794586637"/>
          <c:w val="0.77252371561430033"/>
          <c:h val="0.8390911604419393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'Sales Data'!$N$1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Data'!$B$2:$B$59</c:f>
              <c:strCache>
                <c:ptCount val="15"/>
                <c:pt idx="0">
                  <c:v>Aarav Shah</c:v>
                </c:pt>
                <c:pt idx="1">
                  <c:v>Priya Reddy</c:v>
                </c:pt>
                <c:pt idx="2">
                  <c:v>Rohit Kumar</c:v>
                </c:pt>
                <c:pt idx="3">
                  <c:v>Sneha Iyer</c:v>
                </c:pt>
                <c:pt idx="4">
                  <c:v>Karan Mehta</c:v>
                </c:pt>
                <c:pt idx="5">
                  <c:v>Divya Nair</c:v>
                </c:pt>
                <c:pt idx="6">
                  <c:v>Arjun Patel</c:v>
                </c:pt>
                <c:pt idx="7">
                  <c:v>Meera Joshi</c:v>
                </c:pt>
                <c:pt idx="8">
                  <c:v>Vikram Singh</c:v>
                </c:pt>
                <c:pt idx="9">
                  <c:v>Ananya Das</c:v>
                </c:pt>
                <c:pt idx="10">
                  <c:v>Rahul Verma</c:v>
                </c:pt>
                <c:pt idx="11">
                  <c:v>Pooja Sharma</c:v>
                </c:pt>
                <c:pt idx="12">
                  <c:v>Nikhil Rao</c:v>
                </c:pt>
                <c:pt idx="13">
                  <c:v>Kavya Pillai</c:v>
                </c:pt>
                <c:pt idx="14">
                  <c:v>Siddharth Jain</c:v>
                </c:pt>
              </c:strCache>
            </c:strRef>
          </c:cat>
          <c:val>
            <c:numRef>
              <c:f>'Sales Data'!$N$2:$N$59</c:f>
              <c:numCache>
                <c:formatCode>General</c:formatCode>
                <c:ptCount val="58"/>
                <c:pt idx="0">
                  <c:v>161000</c:v>
                </c:pt>
                <c:pt idx="1">
                  <c:v>90000</c:v>
                </c:pt>
                <c:pt idx="2">
                  <c:v>254000</c:v>
                </c:pt>
                <c:pt idx="3">
                  <c:v>142000</c:v>
                </c:pt>
                <c:pt idx="4">
                  <c:v>275000</c:v>
                </c:pt>
                <c:pt idx="5">
                  <c:v>208000</c:v>
                </c:pt>
                <c:pt idx="6">
                  <c:v>76000</c:v>
                </c:pt>
                <c:pt idx="7">
                  <c:v>313000</c:v>
                </c:pt>
                <c:pt idx="8">
                  <c:v>175000</c:v>
                </c:pt>
                <c:pt idx="9">
                  <c:v>233000</c:v>
                </c:pt>
                <c:pt idx="10">
                  <c:v>269000</c:v>
                </c:pt>
                <c:pt idx="11">
                  <c:v>93000</c:v>
                </c:pt>
                <c:pt idx="12">
                  <c:v>149000</c:v>
                </c:pt>
                <c:pt idx="13">
                  <c:v>293000</c:v>
                </c:pt>
                <c:pt idx="14">
                  <c:v>196000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7-42B3-9234-C4453FA52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7698880"/>
        <c:axId val="1557696960"/>
      </c:barChart>
      <c:catAx>
        <c:axId val="1557698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696960"/>
        <c:crosses val="autoZero"/>
        <c:auto val="1"/>
        <c:lblAlgn val="ctr"/>
        <c:lblOffset val="100"/>
        <c:noMultiLvlLbl val="0"/>
      </c:catAx>
      <c:valAx>
        <c:axId val="15576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69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00000000-C8DB-4F22-B2C8-D35A0DC7B7E2}">
          <cx:tx>
            <cx:txData>
              <cx:f>_xlchart.v1.0</cx:f>
              <cx:v>Total_Sales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137160</xdr:colOff>
      <xdr:row>8</xdr:row>
      <xdr:rowOff>133350</xdr:rowOff>
    </xdr:from>
    <xdr:to>
      <xdr:col>13</xdr:col>
      <xdr:colOff>441960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B3164B-56FD-12AF-30E0-DBBFEA5B3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336175</xdr:colOff>
      <xdr:row>23</xdr:row>
      <xdr:rowOff>165848</xdr:rowOff>
    </xdr:from>
    <xdr:to>
      <xdr:col>38</xdr:col>
      <xdr:colOff>546846</xdr:colOff>
      <xdr:row>51</xdr:row>
      <xdr:rowOff>71718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B9BE42-A80D-1526-7F6B-B5CCD586F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4483</xdr:colOff>
      <xdr:row>27</xdr:row>
      <xdr:rowOff>94129</xdr:rowOff>
    </xdr:from>
    <xdr:to>
      <xdr:col>31</xdr:col>
      <xdr:colOff>412376</xdr:colOff>
      <xdr:row>45</xdr:row>
      <xdr:rowOff>170329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A12401B-95F0-70C8-F94C-189C72F14C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77730" y="5033682"/>
              <a:ext cx="7068670" cy="33034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pal behera" refreshedDate="46168.727722800926" createdVersion="8" refreshedVersion="8" minRefreshableVersion="3" recordCount="15" xr:uid="{425789CE-3E0E-4CEF-AA72-B20455A48E7A}">
  <cacheSource type="worksheet">
    <worksheetSource ref="A1:W16" sheet="Sales Data"/>
  </cacheSource>
  <cacheFields count="23">
    <cacheField name="EmpID" numFmtId="0">
      <sharedItems/>
    </cacheField>
    <cacheField name="Name" numFmtId="0">
      <sharedItems/>
    </cacheField>
    <cacheField name="Department" numFmtId="0">
      <sharedItems count="4">
        <s v="IT"/>
        <s v="HR"/>
        <s v="Sales"/>
        <s v="Finance"/>
      </sharedItems>
    </cacheField>
    <cacheField name="Region" numFmtId="0">
      <sharedItems/>
    </cacheField>
    <cacheField name="Gender" numFmtId="0">
      <sharedItems/>
    </cacheField>
    <cacheField name="JoinDate" numFmtId="0">
      <sharedItems/>
    </cacheField>
    <cacheField name="Sales_Jan" numFmtId="0">
      <sharedItems containsSemiMixedTypes="0" containsString="0" containsNumber="1" containsInteger="1" minValue="25000" maxValue="110000"/>
    </cacheField>
    <cacheField name="Sales_Feb" numFmtId="0">
      <sharedItems containsSemiMixedTypes="0" containsString="0" containsNumber="1" containsInteger="1" minValue="27000" maxValue="105000"/>
    </cacheField>
    <cacheField name="Sales_Mar" numFmtId="0">
      <sharedItems containsSemiMixedTypes="0" containsString="0" containsNumber="1" containsInteger="1" minValue="24000" maxValue="98000"/>
    </cacheField>
    <cacheField name="Product" numFmtId="0">
      <sharedItems/>
    </cacheField>
    <cacheField name="UnitPrice" numFmtId="165">
      <sharedItems containsSemiMixedTypes="0" containsString="0" containsNumber="1" containsInteger="1" minValue="1200" maxValue="75000"/>
    </cacheField>
    <cacheField name="UnitsSold" numFmtId="0">
      <sharedItems containsSemiMixedTypes="0" containsString="0" containsNumber="1" containsInteger="1" minValue="8" maxValue="60"/>
    </cacheField>
    <cacheField name="Bonus%" numFmtId="0">
      <sharedItems containsSemiMixedTypes="0" containsString="0" containsNumber="1" containsInteger="1" minValue="4" maxValue="15"/>
    </cacheField>
    <cacheField name="Total_Sales" numFmtId="0">
      <sharedItems containsSemiMixedTypes="0" containsString="0" containsNumber="1" containsInteger="1" minValue="76000" maxValue="313000"/>
    </cacheField>
    <cacheField name="Average_Sales" numFmtId="0">
      <sharedItems containsSemiMixedTypes="0" containsString="0" containsNumber="1" minValue="25333.333333333332" maxValue="104333.33333333333"/>
    </cacheField>
    <cacheField name="Revenue" numFmtId="0">
      <sharedItems containsSemiMixedTypes="0" containsString="0" containsNumber="1" containsInteger="1" minValue="66000" maxValue="1500000"/>
    </cacheField>
    <cacheField name="Bonus_Amount" numFmtId="0">
      <sharedItems containsSemiMixedTypes="0" containsString="0" containsNumber="1" containsInteger="1" minValue="2880" maxValue="202500"/>
    </cacheField>
    <cacheField name=" NAME With Dept" numFmtId="9">
      <sharedItems/>
    </cacheField>
    <cacheField name="Join Year" numFmtId="1">
      <sharedItems containsSemiMixedTypes="0" containsString="0" containsNumber="1" containsInteger="1" minValue="2018" maxValue="2023"/>
    </cacheField>
    <cacheField name="Last 3 dig Emp Id" numFmtId="1">
      <sharedItems/>
    </cacheField>
    <cacheField name="Performance " numFmtId="1">
      <sharedItems/>
    </cacheField>
    <cacheField name="Grade" numFmtId="1">
      <sharedItems/>
    </cacheField>
    <cacheField name="Dept Check" numFmtId="1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E001"/>
    <s v="Aarav Shah"/>
    <x v="0"/>
    <s v="North"/>
    <s v="Male"/>
    <s v="2021-03-15"/>
    <n v="52000"/>
    <n v="48000"/>
    <n v="61000"/>
    <s v="Laptop"/>
    <n v="75000"/>
    <n v="12"/>
    <n v="8"/>
    <n v="161000"/>
    <n v="53666.666666666664"/>
    <n v="900000"/>
    <n v="72000"/>
    <s v="Aarav Shah - IT"/>
    <n v="2021"/>
    <s v="001"/>
    <s v="Regular"/>
    <s v="C"/>
    <s v="No"/>
  </r>
  <r>
    <s v="E002"/>
    <s v="Priya Reddy"/>
    <x v="1"/>
    <s v="South"/>
    <s v="Female"/>
    <s v="2020-07-01"/>
    <n v="30000"/>
    <n v="32000"/>
    <n v="28000"/>
    <s v="Headset"/>
    <n v="2500"/>
    <n v="40"/>
    <n v="5"/>
    <n v="90000"/>
    <n v="30000"/>
    <n v="100000"/>
    <n v="5000"/>
    <s v="Priya Reddy - HR"/>
    <n v="2020"/>
    <s v="002"/>
    <s v="Regular"/>
    <s v="D"/>
    <s v="No"/>
  </r>
  <r>
    <s v="E003"/>
    <s v="Rohit Kumar"/>
    <x v="2"/>
    <s v="East"/>
    <s v="Male"/>
    <s v="2019-11-20"/>
    <n v="85000"/>
    <n v="91000"/>
    <n v="78000"/>
    <s v="Mobile"/>
    <n v="45000"/>
    <n v="25"/>
    <n v="10"/>
    <n v="254000"/>
    <n v="84666.666666666672"/>
    <n v="1125000"/>
    <n v="112500"/>
    <s v="Rohit Kumar - Sales"/>
    <n v="2019"/>
    <s v="003"/>
    <s v="Top Performer"/>
    <s v="A"/>
    <s v="Yes"/>
  </r>
  <r>
    <s v="E004"/>
    <s v="Sneha Iyer"/>
    <x v="3"/>
    <s v="West"/>
    <s v="Female"/>
    <s v="2022-01-10"/>
    <n v="44000"/>
    <n v="47000"/>
    <n v="51000"/>
    <s v="Tablet"/>
    <n v="32000"/>
    <n v="18"/>
    <n v="7"/>
    <n v="142000"/>
    <n v="47333.333333333336"/>
    <n v="576000"/>
    <n v="40320"/>
    <s v="Sneha Iyer - Finance"/>
    <n v="2022"/>
    <s v="004"/>
    <s v="Regular"/>
    <s v="C"/>
    <s v="No"/>
  </r>
  <r>
    <s v="E005"/>
    <s v="Karan Mehta"/>
    <x v="2"/>
    <s v="North"/>
    <s v="Male"/>
    <s v="2021-06-30"/>
    <n v="92000"/>
    <n v="88000"/>
    <n v="95000"/>
    <s v="Laptop"/>
    <n v="75000"/>
    <n v="20"/>
    <n v="12"/>
    <n v="275000"/>
    <n v="91666.666666666672"/>
    <n v="1500000"/>
    <n v="180000"/>
    <s v="Karan Mehta - Sales"/>
    <n v="2021"/>
    <s v="005"/>
    <s v="Top Performer"/>
    <s v="A"/>
    <s v="Yes"/>
  </r>
  <r>
    <s v="E006"/>
    <s v="Divya Nair"/>
    <x v="0"/>
    <s v="South"/>
    <s v="Female"/>
    <s v="2020-09-14"/>
    <n v="67000"/>
    <n v="72000"/>
    <n v="69000"/>
    <s v="Monitor"/>
    <n v="18000"/>
    <n v="35"/>
    <n v="9"/>
    <n v="208000"/>
    <n v="69333.333333333328"/>
    <n v="630000"/>
    <n v="56700"/>
    <s v="Divya Nair - IT"/>
    <n v="2020"/>
    <s v="006"/>
    <s v="Top Performer"/>
    <s v="B"/>
    <s v="No"/>
  </r>
  <r>
    <s v="E007"/>
    <s v="Arjun Patel"/>
    <x v="1"/>
    <s v="East"/>
    <s v="Male"/>
    <s v="2023-02-01"/>
    <n v="25000"/>
    <n v="27000"/>
    <n v="24000"/>
    <s v="Keyboard"/>
    <n v="1200"/>
    <n v="60"/>
    <n v="4"/>
    <n v="76000"/>
    <n v="25333.333333333332"/>
    <n v="72000"/>
    <n v="2880"/>
    <s v="Arjun Patel - HR"/>
    <n v="2023"/>
    <s v="007"/>
    <s v="Regular"/>
    <s v="D"/>
    <s v="No"/>
  </r>
  <r>
    <s v="E008"/>
    <s v="Meera Joshi"/>
    <x v="2"/>
    <s v="West"/>
    <s v="Female"/>
    <s v="2018-05-22"/>
    <n v="110000"/>
    <n v="105000"/>
    <n v="98000"/>
    <s v="Mobile"/>
    <n v="45000"/>
    <n v="30"/>
    <n v="15"/>
    <n v="313000"/>
    <n v="104333.33333333333"/>
    <n v="1350000"/>
    <n v="202500"/>
    <s v="Meera Joshi - Sales"/>
    <n v="2018"/>
    <s v="008"/>
    <s v="Top Performer"/>
    <s v="A"/>
    <s v="Yes"/>
  </r>
  <r>
    <s v="E009"/>
    <s v="Vikram Singh"/>
    <x v="3"/>
    <s v="North"/>
    <s v="Male"/>
    <s v="2021-12-05"/>
    <n v="58000"/>
    <n v="55000"/>
    <n v="62000"/>
    <s v="Laptop"/>
    <n v="75000"/>
    <n v="8"/>
    <n v="8"/>
    <n v="175000"/>
    <n v="58333.333333333336"/>
    <n v="600000"/>
    <n v="48000"/>
    <s v="Vikram Singh - Finance"/>
    <n v="2021"/>
    <s v="009"/>
    <s v="Regular"/>
    <s v="C"/>
    <s v="No"/>
  </r>
  <r>
    <s v="E010"/>
    <s v="Ananya Das"/>
    <x v="0"/>
    <s v="South"/>
    <s v="Female"/>
    <s v="2022-08-17"/>
    <n v="73000"/>
    <n v="79000"/>
    <n v="81000"/>
    <s v="Monitor"/>
    <n v="18000"/>
    <n v="42"/>
    <n v="9"/>
    <n v="233000"/>
    <n v="77666.666666666672"/>
    <n v="756000"/>
    <n v="68040"/>
    <s v="Ananya Das - IT"/>
    <n v="2022"/>
    <s v="010"/>
    <s v="Top Performer"/>
    <s v="B"/>
    <s v="No"/>
  </r>
  <r>
    <s v="E011"/>
    <s v="Rahul Verma"/>
    <x v="2"/>
    <s v="East"/>
    <s v="Male"/>
    <s v="2019-04-30"/>
    <n v="88000"/>
    <n v="94000"/>
    <n v="87000"/>
    <s v="Tablet"/>
    <n v="32000"/>
    <n v="22"/>
    <n v="11"/>
    <n v="269000"/>
    <n v="89666.666666666672"/>
    <n v="704000"/>
    <n v="77440"/>
    <s v="Rahul Verma - Sales"/>
    <n v="2019"/>
    <s v="011"/>
    <s v="Top Performer"/>
    <s v="A"/>
    <s v="Yes"/>
  </r>
  <r>
    <s v="E012"/>
    <s v="Pooja Sharma"/>
    <x v="1"/>
    <s v="West"/>
    <s v="Female"/>
    <s v="2020-11-11"/>
    <n v="31000"/>
    <n v="29000"/>
    <n v="33000"/>
    <s v="Headset"/>
    <n v="2500"/>
    <n v="38"/>
    <n v="5"/>
    <n v="93000"/>
    <n v="31000"/>
    <n v="95000"/>
    <n v="4750"/>
    <s v="Pooja Sharma - HR"/>
    <n v="2020"/>
    <s v="012"/>
    <s v="Regular"/>
    <s v="D"/>
    <s v="No"/>
  </r>
  <r>
    <s v="E013"/>
    <s v="Nikhil Rao"/>
    <x v="3"/>
    <s v="North"/>
    <s v="Male"/>
    <s v="2021-08-08"/>
    <n v="49000"/>
    <n v="52000"/>
    <n v="48000"/>
    <s v="Keyboard"/>
    <n v="1200"/>
    <n v="55"/>
    <n v="7"/>
    <n v="149000"/>
    <n v="49666.666666666664"/>
    <n v="66000"/>
    <n v="4620"/>
    <s v="Nikhil Rao - Finance"/>
    <n v="2021"/>
    <s v="013"/>
    <s v="Regular"/>
    <s v="C"/>
    <s v="No"/>
  </r>
  <r>
    <s v="E014"/>
    <s v="Kavya Pillai"/>
    <x v="2"/>
    <s v="South"/>
    <s v="Female"/>
    <s v="2022-03-25"/>
    <n v="95000"/>
    <n v="101000"/>
    <n v="97000"/>
    <s v="Mobile"/>
    <n v="45000"/>
    <n v="28"/>
    <n v="13"/>
    <n v="293000"/>
    <n v="97666.666666666672"/>
    <n v="1260000"/>
    <n v="163800"/>
    <s v="Kavya Pillai - Sales"/>
    <n v="2022"/>
    <s v="014"/>
    <s v="Top Performer"/>
    <s v="A"/>
    <s v="Yes"/>
  </r>
  <r>
    <s v="E015"/>
    <s v="Siddharth Jain"/>
    <x v="0"/>
    <s v="East"/>
    <s v="Male"/>
    <s v="2020-06-19"/>
    <n v="61000"/>
    <n v="65000"/>
    <n v="70000"/>
    <s v="Monitor"/>
    <n v="18000"/>
    <n v="39"/>
    <n v="9"/>
    <n v="196000"/>
    <n v="65333.333333333336"/>
    <n v="702000"/>
    <n v="63180"/>
    <s v="Siddharth Jain - IT"/>
    <n v="2020"/>
    <s v="015"/>
    <s v="Regular"/>
    <s v="B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2E2E5-FD69-418A-BEF9-FFAB779DEA60}" name="PivotTable5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7" firstHeaderRow="1" firstDataRow="1" firstDataCol="1"/>
  <pivotFields count="2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3"/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Department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C677-768F-4E2A-A8CD-3FC4346CC1CE}">
  <dimension ref="A3:B7"/>
  <sheetViews>
    <sheetView workbookViewId="0">
      <selection activeCell="N6" sqref="N6"/>
    </sheetView>
  </sheetViews>
  <sheetFormatPr defaultRowHeight="14.4" x14ac:dyDescent="0.3"/>
  <cols>
    <col min="1" max="1" width="13.33203125" bestFit="1" customWidth="1"/>
    <col min="2" max="2" width="19.109375" bestFit="1" customWidth="1"/>
  </cols>
  <sheetData>
    <row r="3" spans="1:2" x14ac:dyDescent="0.3">
      <c r="A3" s="24" t="s">
        <v>2</v>
      </c>
      <c r="B3" t="s">
        <v>170</v>
      </c>
    </row>
    <row r="4" spans="1:2" x14ac:dyDescent="0.3">
      <c r="A4" t="s">
        <v>35</v>
      </c>
      <c r="B4" s="25">
        <v>3</v>
      </c>
    </row>
    <row r="5" spans="1:2" x14ac:dyDescent="0.3">
      <c r="A5" t="s">
        <v>22</v>
      </c>
      <c r="B5" s="25">
        <v>3</v>
      </c>
    </row>
    <row r="6" spans="1:2" x14ac:dyDescent="0.3">
      <c r="A6" t="s">
        <v>15</v>
      </c>
      <c r="B6" s="25">
        <v>4</v>
      </c>
    </row>
    <row r="7" spans="1:2" x14ac:dyDescent="0.3">
      <c r="A7" t="s">
        <v>29</v>
      </c>
      <c r="B7" s="25">
        <v>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"/>
  <sheetViews>
    <sheetView tabSelected="1" zoomScale="85" workbookViewId="0">
      <pane ySplit="1" topLeftCell="A52" activePane="bottomLeft" state="frozen"/>
      <selection pane="bottomLeft" activeCell="Q25" sqref="Q25"/>
    </sheetView>
  </sheetViews>
  <sheetFormatPr defaultRowHeight="14.4" x14ac:dyDescent="0.3"/>
  <cols>
    <col min="1" max="1" width="8" customWidth="1"/>
    <col min="2" max="2" width="16" customWidth="1"/>
    <col min="3" max="3" width="12" customWidth="1"/>
    <col min="4" max="4" width="10" customWidth="1"/>
    <col min="5" max="5" width="10.5546875" bestFit="1" customWidth="1"/>
    <col min="6" max="6" width="13" customWidth="1"/>
    <col min="7" max="10" width="12" customWidth="1"/>
    <col min="11" max="11" width="12" style="8" customWidth="1"/>
    <col min="12" max="12" width="29.6640625" bestFit="1" customWidth="1"/>
    <col min="13" max="13" width="9" customWidth="1"/>
    <col min="14" max="14" width="12.21875" bestFit="1" customWidth="1"/>
    <col min="15" max="15" width="15.77734375" bestFit="1" customWidth="1"/>
    <col min="16" max="16" width="9.77734375" bestFit="1" customWidth="1"/>
    <col min="17" max="17" width="16.109375" bestFit="1" customWidth="1"/>
    <col min="18" max="18" width="20.44140625" bestFit="1" customWidth="1"/>
    <col min="19" max="19" width="11.77734375" customWidth="1"/>
    <col min="20" max="20" width="17.88671875" bestFit="1" customWidth="1"/>
    <col min="21" max="21" width="17" customWidth="1"/>
    <col min="22" max="22" width="8.44140625" customWidth="1"/>
    <col min="23" max="23" width="12.21875" bestFit="1" customWidth="1"/>
    <col min="24" max="24" width="34.88671875" customWidth="1"/>
  </cols>
  <sheetData>
    <row r="1" spans="1:24" ht="22.05" customHeight="1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7" t="s">
        <v>10</v>
      </c>
      <c r="L1" s="26" t="s">
        <v>11</v>
      </c>
      <c r="M1" s="26" t="s">
        <v>12</v>
      </c>
      <c r="N1" s="26" t="s">
        <v>144</v>
      </c>
      <c r="O1" s="26" t="s">
        <v>145</v>
      </c>
      <c r="P1" s="26" t="s">
        <v>146</v>
      </c>
      <c r="Q1" s="26" t="s">
        <v>147</v>
      </c>
      <c r="R1" s="28" t="s">
        <v>148</v>
      </c>
      <c r="S1" s="28" t="s">
        <v>149</v>
      </c>
      <c r="T1" s="28" t="s">
        <v>150</v>
      </c>
      <c r="U1" s="28" t="s">
        <v>151</v>
      </c>
      <c r="V1" s="28" t="s">
        <v>152</v>
      </c>
      <c r="W1" s="28" t="s">
        <v>153</v>
      </c>
      <c r="X1" s="28" t="s">
        <v>171</v>
      </c>
    </row>
    <row r="2" spans="1:24" x14ac:dyDescent="0.3">
      <c r="A2" s="29" t="s">
        <v>13</v>
      </c>
      <c r="B2" s="29" t="s">
        <v>14</v>
      </c>
      <c r="C2" s="29" t="s">
        <v>15</v>
      </c>
      <c r="D2" s="29" t="s">
        <v>16</v>
      </c>
      <c r="E2" s="29" t="s">
        <v>17</v>
      </c>
      <c r="F2" s="29" t="s">
        <v>18</v>
      </c>
      <c r="G2" s="29">
        <v>52000</v>
      </c>
      <c r="H2" s="29">
        <v>48000</v>
      </c>
      <c r="I2" s="29">
        <v>61000</v>
      </c>
      <c r="J2" s="29" t="s">
        <v>19</v>
      </c>
      <c r="K2" s="30">
        <v>75000</v>
      </c>
      <c r="L2" s="29">
        <v>12</v>
      </c>
      <c r="M2" s="29">
        <v>8</v>
      </c>
      <c r="N2" s="29">
        <f>G2+H2+I2</f>
        <v>161000</v>
      </c>
      <c r="O2" s="29">
        <f>AVERAGE(G2:I2)</f>
        <v>53666.666666666664</v>
      </c>
      <c r="P2" s="29">
        <f>K2*L2</f>
        <v>900000</v>
      </c>
      <c r="Q2" s="29">
        <f>P2*M2/100</f>
        <v>72000</v>
      </c>
      <c r="R2" s="31" t="str">
        <f>B2&amp;" - "&amp;C2</f>
        <v>Aarav Shah - IT</v>
      </c>
      <c r="S2" s="32">
        <f>YEAR(F2)</f>
        <v>2021</v>
      </c>
      <c r="T2" s="32" t="str">
        <f>RIGHT(A2,3)</f>
        <v>001</v>
      </c>
      <c r="U2" s="32" t="str">
        <f>IF(N2&gt;200000,"Top Performer","Regular")</f>
        <v>Regular</v>
      </c>
      <c r="V2" s="32" t="str">
        <f>IF(O2&gt;80000,"A",IF(O2&gt;60000,"B",IF(O2&gt;40000,"C","D")))</f>
        <v>C</v>
      </c>
      <c r="W2" s="32" t="str">
        <f>IF(AND(C2="Sales",N2&gt;20000),"Yes","No")</f>
        <v>No</v>
      </c>
      <c r="X2" s="32"/>
    </row>
    <row r="3" spans="1:24" x14ac:dyDescent="0.3">
      <c r="A3" s="33" t="s">
        <v>20</v>
      </c>
      <c r="B3" s="33" t="s">
        <v>21</v>
      </c>
      <c r="C3" s="33" t="s">
        <v>22</v>
      </c>
      <c r="D3" s="33" t="s">
        <v>23</v>
      </c>
      <c r="E3" s="33" t="s">
        <v>24</v>
      </c>
      <c r="F3" s="33" t="s">
        <v>25</v>
      </c>
      <c r="G3" s="33">
        <v>30000</v>
      </c>
      <c r="H3" s="33">
        <v>32000</v>
      </c>
      <c r="I3" s="33">
        <v>28000</v>
      </c>
      <c r="J3" s="33" t="s">
        <v>26</v>
      </c>
      <c r="K3" s="34">
        <v>2500</v>
      </c>
      <c r="L3" s="33">
        <v>40</v>
      </c>
      <c r="M3" s="33">
        <v>5</v>
      </c>
      <c r="N3" s="29">
        <f>G3+H3+I3</f>
        <v>90000</v>
      </c>
      <c r="O3" s="29">
        <f>AVERAGE(G3:I3)</f>
        <v>30000</v>
      </c>
      <c r="P3" s="29">
        <f>K3*L3</f>
        <v>100000</v>
      </c>
      <c r="Q3" s="29">
        <f>P3*M3/100</f>
        <v>5000</v>
      </c>
      <c r="R3" s="31" t="str">
        <f>B3&amp;" - "&amp;C3</f>
        <v>Priya Reddy - HR</v>
      </c>
      <c r="S3" s="32">
        <f>YEAR(F3)</f>
        <v>2020</v>
      </c>
      <c r="T3" s="32" t="str">
        <f>RIGHT(A3,3)</f>
        <v>002</v>
      </c>
      <c r="U3" s="32" t="str">
        <f>IF(N3&gt;200000,"Top Performer","Regular")</f>
        <v>Regular</v>
      </c>
      <c r="V3" s="32" t="str">
        <f>IF(O3&gt;80000,"A",IF(O3&gt;60000,"B",IF(O3&gt;40000,"C","D")))</f>
        <v>D</v>
      </c>
      <c r="W3" s="32" t="str">
        <f>IF(AND(C3="Sales",N3&gt;20000),"Yes","No")</f>
        <v>No</v>
      </c>
      <c r="X3" s="32"/>
    </row>
    <row r="4" spans="1:24" x14ac:dyDescent="0.3">
      <c r="A4" s="29" t="s">
        <v>27</v>
      </c>
      <c r="B4" s="29" t="s">
        <v>28</v>
      </c>
      <c r="C4" s="29" t="s">
        <v>29</v>
      </c>
      <c r="D4" s="29" t="s">
        <v>30</v>
      </c>
      <c r="E4" s="29" t="s">
        <v>17</v>
      </c>
      <c r="F4" s="29" t="s">
        <v>31</v>
      </c>
      <c r="G4" s="29">
        <v>85000</v>
      </c>
      <c r="H4" s="29">
        <v>91000</v>
      </c>
      <c r="I4" s="29">
        <v>78000</v>
      </c>
      <c r="J4" s="29" t="s">
        <v>32</v>
      </c>
      <c r="K4" s="30">
        <v>45000</v>
      </c>
      <c r="L4" s="29">
        <v>25</v>
      </c>
      <c r="M4" s="29">
        <v>10</v>
      </c>
      <c r="N4" s="29">
        <f>G4+H4+I4</f>
        <v>254000</v>
      </c>
      <c r="O4" s="29">
        <f>AVERAGE(G4:I4)</f>
        <v>84666.666666666672</v>
      </c>
      <c r="P4" s="29">
        <f>K4*L4</f>
        <v>1125000</v>
      </c>
      <c r="Q4" s="29">
        <f>P4*M4/100</f>
        <v>112500</v>
      </c>
      <c r="R4" s="31" t="str">
        <f>B4&amp;" - "&amp;C4</f>
        <v>Rohit Kumar - Sales</v>
      </c>
      <c r="S4" s="32">
        <f>YEAR(F4)</f>
        <v>2019</v>
      </c>
      <c r="T4" s="32" t="str">
        <f>RIGHT(A4,3)</f>
        <v>003</v>
      </c>
      <c r="U4" s="32" t="str">
        <f>IF(N4&gt;200000,"Top Performer","Regular")</f>
        <v>Top Performer</v>
      </c>
      <c r="V4" s="32" t="str">
        <f>IF(O4&gt;80000,"A",IF(O4&gt;60000,"B",IF(O4&gt;40000,"C","D")))</f>
        <v>A</v>
      </c>
      <c r="W4" s="32" t="str">
        <f>IF(AND(C4="Sales",N4&gt;20000),"Yes","No")</f>
        <v>Yes</v>
      </c>
      <c r="X4" s="32"/>
    </row>
    <row r="5" spans="1:24" x14ac:dyDescent="0.3">
      <c r="A5" s="33" t="s">
        <v>33</v>
      </c>
      <c r="B5" s="33" t="s">
        <v>34</v>
      </c>
      <c r="C5" s="33" t="s">
        <v>35</v>
      </c>
      <c r="D5" s="33" t="s">
        <v>36</v>
      </c>
      <c r="E5" s="33" t="s">
        <v>24</v>
      </c>
      <c r="F5" s="33" t="s">
        <v>37</v>
      </c>
      <c r="G5" s="33">
        <v>44000</v>
      </c>
      <c r="H5" s="33">
        <v>47000</v>
      </c>
      <c r="I5" s="33">
        <v>51000</v>
      </c>
      <c r="J5" s="33" t="s">
        <v>38</v>
      </c>
      <c r="K5" s="34">
        <v>32000</v>
      </c>
      <c r="L5" s="33">
        <v>18</v>
      </c>
      <c r="M5" s="33">
        <v>7</v>
      </c>
      <c r="N5" s="29">
        <f>G5+H5+I5</f>
        <v>142000</v>
      </c>
      <c r="O5" s="29">
        <f>AVERAGE(G5:I5)</f>
        <v>47333.333333333336</v>
      </c>
      <c r="P5" s="29">
        <f>K5*L5</f>
        <v>576000</v>
      </c>
      <c r="Q5" s="29">
        <f>P5*M5/100</f>
        <v>40320</v>
      </c>
      <c r="R5" s="31" t="str">
        <f>B5&amp;" - "&amp;C5</f>
        <v>Sneha Iyer - Finance</v>
      </c>
      <c r="S5" s="32">
        <f>YEAR(F5)</f>
        <v>2022</v>
      </c>
      <c r="T5" s="32" t="str">
        <f>RIGHT(A5,3)</f>
        <v>004</v>
      </c>
      <c r="U5" s="32" t="str">
        <f>IF(N5&gt;200000,"Top Performer","Regular")</f>
        <v>Regular</v>
      </c>
      <c r="V5" s="32" t="str">
        <f>IF(O5&gt;80000,"A",IF(O5&gt;60000,"B",IF(O5&gt;40000,"C","D")))</f>
        <v>C</v>
      </c>
      <c r="W5" s="32" t="str">
        <f>IF(AND(C5="Sales",N5&gt;20000),"Yes","No")</f>
        <v>No</v>
      </c>
      <c r="X5" s="32"/>
    </row>
    <row r="6" spans="1:24" x14ac:dyDescent="0.3">
      <c r="A6" s="29" t="s">
        <v>39</v>
      </c>
      <c r="B6" s="29" t="s">
        <v>40</v>
      </c>
      <c r="C6" s="29" t="s">
        <v>29</v>
      </c>
      <c r="D6" s="29" t="s">
        <v>16</v>
      </c>
      <c r="E6" s="29" t="s">
        <v>17</v>
      </c>
      <c r="F6" s="29" t="s">
        <v>41</v>
      </c>
      <c r="G6" s="29">
        <v>92000</v>
      </c>
      <c r="H6" s="29">
        <v>88000</v>
      </c>
      <c r="I6" s="29">
        <v>95000</v>
      </c>
      <c r="J6" s="29" t="s">
        <v>19</v>
      </c>
      <c r="K6" s="30">
        <v>75000</v>
      </c>
      <c r="L6" s="29">
        <v>20</v>
      </c>
      <c r="M6" s="29">
        <v>12</v>
      </c>
      <c r="N6" s="29">
        <f>G6+H6+I6</f>
        <v>275000</v>
      </c>
      <c r="O6" s="29">
        <f>AVERAGE(G6:I6)</f>
        <v>91666.666666666672</v>
      </c>
      <c r="P6" s="29">
        <f>K6*L6</f>
        <v>1500000</v>
      </c>
      <c r="Q6" s="29">
        <f>P6*M6/100</f>
        <v>180000</v>
      </c>
      <c r="R6" s="31" t="str">
        <f>B6&amp;" - "&amp;C6</f>
        <v>Karan Mehta - Sales</v>
      </c>
      <c r="S6" s="32">
        <f>YEAR(F6)</f>
        <v>2021</v>
      </c>
      <c r="T6" s="32" t="str">
        <f>RIGHT(A6,3)</f>
        <v>005</v>
      </c>
      <c r="U6" s="32" t="str">
        <f>IF(N6&gt;200000,"Top Performer","Regular")</f>
        <v>Top Performer</v>
      </c>
      <c r="V6" s="32" t="str">
        <f>IF(O6&gt;80000,"A",IF(O6&gt;60000,"B",IF(O6&gt;40000,"C","D")))</f>
        <v>A</v>
      </c>
      <c r="W6" s="32" t="str">
        <f>IF(AND(C6="Sales",N6&gt;20000),"Yes","No")</f>
        <v>Yes</v>
      </c>
      <c r="X6" s="32"/>
    </row>
    <row r="7" spans="1:24" x14ac:dyDescent="0.3">
      <c r="A7" s="33" t="s">
        <v>42</v>
      </c>
      <c r="B7" s="33" t="s">
        <v>43</v>
      </c>
      <c r="C7" s="33" t="s">
        <v>15</v>
      </c>
      <c r="D7" s="33" t="s">
        <v>23</v>
      </c>
      <c r="E7" s="33" t="s">
        <v>24</v>
      </c>
      <c r="F7" s="33" t="s">
        <v>44</v>
      </c>
      <c r="G7" s="33">
        <v>67000</v>
      </c>
      <c r="H7" s="33">
        <v>72000</v>
      </c>
      <c r="I7" s="33">
        <v>69000</v>
      </c>
      <c r="J7" s="33" t="s">
        <v>45</v>
      </c>
      <c r="K7" s="34">
        <v>18000</v>
      </c>
      <c r="L7" s="33">
        <v>35</v>
      </c>
      <c r="M7" s="33">
        <v>9</v>
      </c>
      <c r="N7" s="29">
        <f>G7+H7+I7</f>
        <v>208000</v>
      </c>
      <c r="O7" s="29">
        <f>AVERAGE(G7:I7)</f>
        <v>69333.333333333328</v>
      </c>
      <c r="P7" s="29">
        <f>K7*L7</f>
        <v>630000</v>
      </c>
      <c r="Q7" s="29">
        <f>P7*M7/100</f>
        <v>56700</v>
      </c>
      <c r="R7" s="31" t="str">
        <f>B7&amp;" - "&amp;C7</f>
        <v>Divya Nair - IT</v>
      </c>
      <c r="S7" s="32">
        <f>YEAR(F7)</f>
        <v>2020</v>
      </c>
      <c r="T7" s="32" t="str">
        <f>RIGHT(A7,3)</f>
        <v>006</v>
      </c>
      <c r="U7" s="32" t="str">
        <f>IF(N7&gt;200000,"Top Performer","Regular")</f>
        <v>Top Performer</v>
      </c>
      <c r="V7" s="32" t="str">
        <f>IF(O7&gt;80000,"A",IF(O7&gt;60000,"B",IF(O7&gt;40000,"C","D")))</f>
        <v>B</v>
      </c>
      <c r="W7" s="32" t="str">
        <f>IF(AND(C7="Sales",N7&gt;20000),"Yes","No")</f>
        <v>No</v>
      </c>
      <c r="X7" s="32"/>
    </row>
    <row r="8" spans="1:24" x14ac:dyDescent="0.3">
      <c r="A8" s="29" t="s">
        <v>46</v>
      </c>
      <c r="B8" s="29" t="s">
        <v>47</v>
      </c>
      <c r="C8" s="29" t="s">
        <v>22</v>
      </c>
      <c r="D8" s="29" t="s">
        <v>30</v>
      </c>
      <c r="E8" s="29" t="s">
        <v>17</v>
      </c>
      <c r="F8" s="29" t="s">
        <v>48</v>
      </c>
      <c r="G8" s="29">
        <v>25000</v>
      </c>
      <c r="H8" s="29">
        <v>27000</v>
      </c>
      <c r="I8" s="29">
        <v>24000</v>
      </c>
      <c r="J8" s="29" t="s">
        <v>49</v>
      </c>
      <c r="K8" s="30">
        <v>1200</v>
      </c>
      <c r="L8" s="29">
        <v>60</v>
      </c>
      <c r="M8" s="29">
        <v>4</v>
      </c>
      <c r="N8" s="29">
        <f>G8+H8+I8</f>
        <v>76000</v>
      </c>
      <c r="O8" s="29">
        <f>AVERAGE(G8:I8)</f>
        <v>25333.333333333332</v>
      </c>
      <c r="P8" s="29">
        <f>K8*L8</f>
        <v>72000</v>
      </c>
      <c r="Q8" s="29">
        <f>P8*M8/100</f>
        <v>2880</v>
      </c>
      <c r="R8" s="31" t="str">
        <f>B8&amp;" - "&amp;C8</f>
        <v>Arjun Patel - HR</v>
      </c>
      <c r="S8" s="32">
        <f>YEAR(F8)</f>
        <v>2023</v>
      </c>
      <c r="T8" s="32" t="str">
        <f>RIGHT(A8,3)</f>
        <v>007</v>
      </c>
      <c r="U8" s="32" t="str">
        <f>IF(N8&gt;200000,"Top Performer","Regular")</f>
        <v>Regular</v>
      </c>
      <c r="V8" s="32" t="str">
        <f>IF(O8&gt;80000,"A",IF(O8&gt;60000,"B",IF(O8&gt;40000,"C","D")))</f>
        <v>D</v>
      </c>
      <c r="W8" s="32" t="str">
        <f>IF(AND(C8="Sales",N8&gt;20000),"Yes","No")</f>
        <v>No</v>
      </c>
      <c r="X8" s="32"/>
    </row>
    <row r="9" spans="1:24" x14ac:dyDescent="0.3">
      <c r="A9" s="33" t="s">
        <v>50</v>
      </c>
      <c r="B9" s="33" t="s">
        <v>51</v>
      </c>
      <c r="C9" s="33" t="s">
        <v>29</v>
      </c>
      <c r="D9" s="33" t="s">
        <v>36</v>
      </c>
      <c r="E9" s="33" t="s">
        <v>24</v>
      </c>
      <c r="F9" s="33" t="s">
        <v>52</v>
      </c>
      <c r="G9" s="33">
        <v>110000</v>
      </c>
      <c r="H9" s="33">
        <v>105000</v>
      </c>
      <c r="I9" s="33">
        <v>98000</v>
      </c>
      <c r="J9" s="33" t="s">
        <v>32</v>
      </c>
      <c r="K9" s="34">
        <v>45000</v>
      </c>
      <c r="L9" s="33">
        <v>30</v>
      </c>
      <c r="M9" s="33">
        <v>15</v>
      </c>
      <c r="N9" s="29">
        <f>G9+H9+I9</f>
        <v>313000</v>
      </c>
      <c r="O9" s="29">
        <f>AVERAGE(G9:I9)</f>
        <v>104333.33333333333</v>
      </c>
      <c r="P9" s="29">
        <f>K9*L9</f>
        <v>1350000</v>
      </c>
      <c r="Q9" s="29">
        <f>P9*M9/100</f>
        <v>202500</v>
      </c>
      <c r="R9" s="31" t="str">
        <f>B9&amp;" - "&amp;C9</f>
        <v>Meera Joshi - Sales</v>
      </c>
      <c r="S9" s="32">
        <f>YEAR(F9)</f>
        <v>2018</v>
      </c>
      <c r="T9" s="32" t="str">
        <f>RIGHT(A9,3)</f>
        <v>008</v>
      </c>
      <c r="U9" s="32" t="str">
        <f>IF(N9&gt;200000,"Top Performer","Regular")</f>
        <v>Top Performer</v>
      </c>
      <c r="V9" s="32" t="str">
        <f>IF(O9&gt;80000,"A",IF(O9&gt;60000,"B",IF(O9&gt;40000,"C","D")))</f>
        <v>A</v>
      </c>
      <c r="W9" s="32" t="str">
        <f>IF(AND(C9="Sales",N9&gt;20000),"Yes","No")</f>
        <v>Yes</v>
      </c>
      <c r="X9" s="32"/>
    </row>
    <row r="10" spans="1:24" x14ac:dyDescent="0.3">
      <c r="A10" s="29" t="s">
        <v>53</v>
      </c>
      <c r="B10" s="29" t="s">
        <v>54</v>
      </c>
      <c r="C10" s="29" t="s">
        <v>35</v>
      </c>
      <c r="D10" s="29" t="s">
        <v>16</v>
      </c>
      <c r="E10" s="29" t="s">
        <v>17</v>
      </c>
      <c r="F10" s="29" t="s">
        <v>55</v>
      </c>
      <c r="G10" s="29">
        <v>58000</v>
      </c>
      <c r="H10" s="29">
        <v>55000</v>
      </c>
      <c r="I10" s="29">
        <v>62000</v>
      </c>
      <c r="J10" s="29" t="s">
        <v>19</v>
      </c>
      <c r="K10" s="30">
        <v>75000</v>
      </c>
      <c r="L10" s="29">
        <v>8</v>
      </c>
      <c r="M10" s="29">
        <v>8</v>
      </c>
      <c r="N10" s="29">
        <f>G10+H10+I10</f>
        <v>175000</v>
      </c>
      <c r="O10" s="29">
        <f>AVERAGE(G10:I10)</f>
        <v>58333.333333333336</v>
      </c>
      <c r="P10" s="29">
        <f>K10*L10</f>
        <v>600000</v>
      </c>
      <c r="Q10" s="29">
        <f>P10*M10/100</f>
        <v>48000</v>
      </c>
      <c r="R10" s="31" t="str">
        <f>B10&amp;" - "&amp;C10</f>
        <v>Vikram Singh - Finance</v>
      </c>
      <c r="S10" s="32">
        <f>YEAR(F10)</f>
        <v>2021</v>
      </c>
      <c r="T10" s="32" t="str">
        <f>RIGHT(A10,3)</f>
        <v>009</v>
      </c>
      <c r="U10" s="32" t="str">
        <f>IF(N10&gt;200000,"Top Performer","Regular")</f>
        <v>Regular</v>
      </c>
      <c r="V10" s="32" t="str">
        <f>IF(O10&gt;80000,"A",IF(O10&gt;60000,"B",IF(O10&gt;40000,"C","D")))</f>
        <v>C</v>
      </c>
      <c r="W10" s="32" t="str">
        <f>IF(AND(C10="Sales",N10&gt;20000),"Yes","No")</f>
        <v>No</v>
      </c>
      <c r="X10" s="32"/>
    </row>
    <row r="11" spans="1:24" x14ac:dyDescent="0.3">
      <c r="A11" s="33" t="s">
        <v>56</v>
      </c>
      <c r="B11" s="33" t="s">
        <v>57</v>
      </c>
      <c r="C11" s="33" t="s">
        <v>15</v>
      </c>
      <c r="D11" s="33" t="s">
        <v>23</v>
      </c>
      <c r="E11" s="33" t="s">
        <v>24</v>
      </c>
      <c r="F11" s="33" t="s">
        <v>58</v>
      </c>
      <c r="G11" s="33">
        <v>73000</v>
      </c>
      <c r="H11" s="33">
        <v>79000</v>
      </c>
      <c r="I11" s="33">
        <v>81000</v>
      </c>
      <c r="J11" s="33" t="s">
        <v>45</v>
      </c>
      <c r="K11" s="34">
        <v>18000</v>
      </c>
      <c r="L11" s="33">
        <v>42</v>
      </c>
      <c r="M11" s="33">
        <v>9</v>
      </c>
      <c r="N11" s="29">
        <f>G11+H11+I11</f>
        <v>233000</v>
      </c>
      <c r="O11" s="29">
        <f>AVERAGE(G11:I11)</f>
        <v>77666.666666666672</v>
      </c>
      <c r="P11" s="29">
        <f>K11*L11</f>
        <v>756000</v>
      </c>
      <c r="Q11" s="29">
        <f>P11*M11/100</f>
        <v>68040</v>
      </c>
      <c r="R11" s="31" t="str">
        <f>B11&amp;" - "&amp;C11</f>
        <v>Ananya Das - IT</v>
      </c>
      <c r="S11" s="32">
        <f>YEAR(F11)</f>
        <v>2022</v>
      </c>
      <c r="T11" s="32" t="str">
        <f>RIGHT(A11,3)</f>
        <v>010</v>
      </c>
      <c r="U11" s="32" t="str">
        <f>IF(N11&gt;200000,"Top Performer","Regular")</f>
        <v>Top Performer</v>
      </c>
      <c r="V11" s="32" t="str">
        <f>IF(O11&gt;80000,"A",IF(O11&gt;60000,"B",IF(O11&gt;40000,"C","D")))</f>
        <v>B</v>
      </c>
      <c r="W11" s="32" t="str">
        <f>IF(AND(C11="Sales",N11&gt;20000),"Yes","No")</f>
        <v>No</v>
      </c>
      <c r="X11" s="32"/>
    </row>
    <row r="12" spans="1:24" x14ac:dyDescent="0.3">
      <c r="A12" s="29" t="s">
        <v>59</v>
      </c>
      <c r="B12" s="29" t="s">
        <v>60</v>
      </c>
      <c r="C12" s="29" t="s">
        <v>29</v>
      </c>
      <c r="D12" s="29" t="s">
        <v>30</v>
      </c>
      <c r="E12" s="29" t="s">
        <v>17</v>
      </c>
      <c r="F12" s="29" t="s">
        <v>61</v>
      </c>
      <c r="G12" s="29">
        <v>88000</v>
      </c>
      <c r="H12" s="29">
        <v>94000</v>
      </c>
      <c r="I12" s="29">
        <v>87000</v>
      </c>
      <c r="J12" s="29" t="s">
        <v>38</v>
      </c>
      <c r="K12" s="30">
        <v>32000</v>
      </c>
      <c r="L12" s="29">
        <v>22</v>
      </c>
      <c r="M12" s="29">
        <v>11</v>
      </c>
      <c r="N12" s="29">
        <f>G12+H12+I12</f>
        <v>269000</v>
      </c>
      <c r="O12" s="29">
        <f>AVERAGE(G12:I12)</f>
        <v>89666.666666666672</v>
      </c>
      <c r="P12" s="29">
        <f>K12*L12</f>
        <v>704000</v>
      </c>
      <c r="Q12" s="29">
        <f>P12*M12/100</f>
        <v>77440</v>
      </c>
      <c r="R12" s="31" t="str">
        <f>B12&amp;" - "&amp;C12</f>
        <v>Rahul Verma - Sales</v>
      </c>
      <c r="S12" s="32">
        <f>YEAR(F12)</f>
        <v>2019</v>
      </c>
      <c r="T12" s="32" t="str">
        <f>RIGHT(A12,3)</f>
        <v>011</v>
      </c>
      <c r="U12" s="32" t="str">
        <f>IF(N12&gt;200000,"Top Performer","Regular")</f>
        <v>Top Performer</v>
      </c>
      <c r="V12" s="32" t="str">
        <f>IF(O12&gt;80000,"A",IF(O12&gt;60000,"B",IF(O12&gt;40000,"C","D")))</f>
        <v>A</v>
      </c>
      <c r="W12" s="32" t="str">
        <f>IF(AND(C12="Sales",N12&gt;20000),"Yes","No")</f>
        <v>Yes</v>
      </c>
      <c r="X12" s="32"/>
    </row>
    <row r="13" spans="1:24" x14ac:dyDescent="0.3">
      <c r="A13" s="33" t="s">
        <v>62</v>
      </c>
      <c r="B13" s="33" t="s">
        <v>63</v>
      </c>
      <c r="C13" s="33" t="s">
        <v>22</v>
      </c>
      <c r="D13" s="33" t="s">
        <v>36</v>
      </c>
      <c r="E13" s="33" t="s">
        <v>24</v>
      </c>
      <c r="F13" s="33" t="s">
        <v>64</v>
      </c>
      <c r="G13" s="33">
        <v>31000</v>
      </c>
      <c r="H13" s="33">
        <v>29000</v>
      </c>
      <c r="I13" s="33">
        <v>33000</v>
      </c>
      <c r="J13" s="33" t="s">
        <v>26</v>
      </c>
      <c r="K13" s="34">
        <v>2500</v>
      </c>
      <c r="L13" s="33">
        <v>38</v>
      </c>
      <c r="M13" s="33">
        <v>5</v>
      </c>
      <c r="N13" s="29">
        <f>G13+H13+I13</f>
        <v>93000</v>
      </c>
      <c r="O13" s="29">
        <f>AVERAGE(G13:I13)</f>
        <v>31000</v>
      </c>
      <c r="P13" s="29">
        <f>K13*L13</f>
        <v>95000</v>
      </c>
      <c r="Q13" s="29">
        <f>P13*M13/100</f>
        <v>4750</v>
      </c>
      <c r="R13" s="31" t="str">
        <f>B13&amp;" - "&amp;C13</f>
        <v>Pooja Sharma - HR</v>
      </c>
      <c r="S13" s="32">
        <f>YEAR(F13)</f>
        <v>2020</v>
      </c>
      <c r="T13" s="32" t="str">
        <f>RIGHT(A13,3)</f>
        <v>012</v>
      </c>
      <c r="U13" s="32" t="str">
        <f>IF(N13&gt;200000,"Top Performer","Regular")</f>
        <v>Regular</v>
      </c>
      <c r="V13" s="32" t="str">
        <f>IF(O13&gt;80000,"A",IF(O13&gt;60000,"B",IF(O13&gt;40000,"C","D")))</f>
        <v>D</v>
      </c>
      <c r="W13" s="32" t="str">
        <f>IF(AND(C13="Sales",N13&gt;20000),"Yes","No")</f>
        <v>No</v>
      </c>
      <c r="X13" s="32"/>
    </row>
    <row r="14" spans="1:24" x14ac:dyDescent="0.3">
      <c r="A14" s="29" t="s">
        <v>65</v>
      </c>
      <c r="B14" s="29" t="s">
        <v>66</v>
      </c>
      <c r="C14" s="29" t="s">
        <v>35</v>
      </c>
      <c r="D14" s="29" t="s">
        <v>16</v>
      </c>
      <c r="E14" s="29" t="s">
        <v>17</v>
      </c>
      <c r="F14" s="29" t="s">
        <v>67</v>
      </c>
      <c r="G14" s="29">
        <v>49000</v>
      </c>
      <c r="H14" s="29">
        <v>52000</v>
      </c>
      <c r="I14" s="29">
        <v>48000</v>
      </c>
      <c r="J14" s="29" t="s">
        <v>49</v>
      </c>
      <c r="K14" s="30">
        <v>1200</v>
      </c>
      <c r="L14" s="29">
        <v>55</v>
      </c>
      <c r="M14" s="29">
        <v>7</v>
      </c>
      <c r="N14" s="29">
        <f>G14+H14+I14</f>
        <v>149000</v>
      </c>
      <c r="O14" s="29">
        <f>AVERAGE(G14:I14)</f>
        <v>49666.666666666664</v>
      </c>
      <c r="P14" s="29">
        <f>K14*L14</f>
        <v>66000</v>
      </c>
      <c r="Q14" s="29">
        <f>P14*M14/100</f>
        <v>4620</v>
      </c>
      <c r="R14" s="31" t="str">
        <f>B14&amp;" - "&amp;C14</f>
        <v>Nikhil Rao - Finance</v>
      </c>
      <c r="S14" s="32">
        <f>YEAR(F14)</f>
        <v>2021</v>
      </c>
      <c r="T14" s="32" t="str">
        <f>RIGHT(A14,3)</f>
        <v>013</v>
      </c>
      <c r="U14" s="32" t="str">
        <f>IF(N14&gt;200000,"Top Performer","Regular")</f>
        <v>Regular</v>
      </c>
      <c r="V14" s="32" t="str">
        <f>IF(O14&gt;80000,"A",IF(O14&gt;60000,"B",IF(O14&gt;40000,"C","D")))</f>
        <v>C</v>
      </c>
      <c r="W14" s="32" t="str">
        <f>IF(AND(C14="Sales",N14&gt;20000),"Yes","No")</f>
        <v>No</v>
      </c>
      <c r="X14" s="32"/>
    </row>
    <row r="15" spans="1:24" x14ac:dyDescent="0.3">
      <c r="A15" s="33" t="s">
        <v>68</v>
      </c>
      <c r="B15" s="33" t="s">
        <v>69</v>
      </c>
      <c r="C15" s="33" t="s">
        <v>29</v>
      </c>
      <c r="D15" s="33" t="s">
        <v>23</v>
      </c>
      <c r="E15" s="33" t="s">
        <v>24</v>
      </c>
      <c r="F15" s="33" t="s">
        <v>70</v>
      </c>
      <c r="G15" s="33">
        <v>95000</v>
      </c>
      <c r="H15" s="33">
        <v>101000</v>
      </c>
      <c r="I15" s="33">
        <v>97000</v>
      </c>
      <c r="J15" s="33" t="s">
        <v>32</v>
      </c>
      <c r="K15" s="34">
        <v>45000</v>
      </c>
      <c r="L15" s="33">
        <v>28</v>
      </c>
      <c r="M15" s="33">
        <v>13</v>
      </c>
      <c r="N15" s="29">
        <f>G15+H15+I15</f>
        <v>293000</v>
      </c>
      <c r="O15" s="29">
        <f>AVERAGE(G15:I15)</f>
        <v>97666.666666666672</v>
      </c>
      <c r="P15" s="29">
        <f>K15*L15</f>
        <v>1260000</v>
      </c>
      <c r="Q15" s="29">
        <f>P15*M15/100</f>
        <v>163800</v>
      </c>
      <c r="R15" s="31" t="str">
        <f>B15&amp;" - "&amp;C15</f>
        <v>Kavya Pillai - Sales</v>
      </c>
      <c r="S15" s="32">
        <f>YEAR(F15)</f>
        <v>2022</v>
      </c>
      <c r="T15" s="32" t="str">
        <f>RIGHT(A15,3)</f>
        <v>014</v>
      </c>
      <c r="U15" s="32" t="str">
        <f>IF(N15&gt;200000,"Top Performer","Regular")</f>
        <v>Top Performer</v>
      </c>
      <c r="V15" s="32" t="str">
        <f>IF(O15&gt;80000,"A",IF(O15&gt;60000,"B",IF(O15&gt;40000,"C","D")))</f>
        <v>A</v>
      </c>
      <c r="W15" s="32" t="str">
        <f>IF(AND(C15="Sales",N15&gt;20000),"Yes","No")</f>
        <v>Yes</v>
      </c>
      <c r="X15" s="32"/>
    </row>
    <row r="16" spans="1:24" x14ac:dyDescent="0.3">
      <c r="A16" s="29" t="s">
        <v>71</v>
      </c>
      <c r="B16" s="29" t="s">
        <v>72</v>
      </c>
      <c r="C16" s="29" t="s">
        <v>15</v>
      </c>
      <c r="D16" s="29" t="s">
        <v>30</v>
      </c>
      <c r="E16" s="29" t="s">
        <v>17</v>
      </c>
      <c r="F16" s="29" t="s">
        <v>73</v>
      </c>
      <c r="G16" s="29">
        <v>61000</v>
      </c>
      <c r="H16" s="29">
        <v>65000</v>
      </c>
      <c r="I16" s="29">
        <v>70000</v>
      </c>
      <c r="J16" s="29" t="s">
        <v>45</v>
      </c>
      <c r="K16" s="30">
        <v>18000</v>
      </c>
      <c r="L16" s="29">
        <v>39</v>
      </c>
      <c r="M16" s="29">
        <v>9</v>
      </c>
      <c r="N16" s="29">
        <f>G16+H16+I16</f>
        <v>196000</v>
      </c>
      <c r="O16" s="29">
        <f>AVERAGE(G16:I16)</f>
        <v>65333.333333333336</v>
      </c>
      <c r="P16" s="29">
        <f>K16*L16</f>
        <v>702000</v>
      </c>
      <c r="Q16" s="29">
        <f>P16*M16/100</f>
        <v>63180</v>
      </c>
      <c r="R16" s="31" t="str">
        <f>B16&amp;" - "&amp;C16</f>
        <v>Siddharth Jain - IT</v>
      </c>
      <c r="S16" s="32">
        <f>YEAR(F16)</f>
        <v>2020</v>
      </c>
      <c r="T16" s="32" t="str">
        <f>RIGHT(A16,3)</f>
        <v>015</v>
      </c>
      <c r="U16" s="32" t="str">
        <f>IF(N16&gt;200000,"Top Performer","Regular")</f>
        <v>Regular</v>
      </c>
      <c r="V16" s="32" t="str">
        <f>IF(O16&gt;80000,"A",IF(O16&gt;60000,"B",IF(O16&gt;40000,"C","D")))</f>
        <v>B</v>
      </c>
      <c r="W16" s="32" t="str">
        <f>IF(AND(C16="Sales",N16&gt;20000),"Yes","No")</f>
        <v>No</v>
      </c>
      <c r="X16" s="32"/>
    </row>
    <row r="22" spans="5:13" x14ac:dyDescent="0.3">
      <c r="L22" s="9" t="s">
        <v>154</v>
      </c>
      <c r="M22" s="9">
        <f>SUM('Sales Data'!N2:N16)</f>
        <v>2927000</v>
      </c>
    </row>
    <row r="24" spans="5:13" x14ac:dyDescent="0.3">
      <c r="L24" s="10" t="s">
        <v>155</v>
      </c>
      <c r="M24" s="10">
        <f>AVERAGE(Q2:Q17)</f>
        <v>73448.666666666672</v>
      </c>
    </row>
    <row r="26" spans="5:13" x14ac:dyDescent="0.3">
      <c r="E26" s="21" t="s">
        <v>167</v>
      </c>
      <c r="F26" s="21" t="str">
        <f>VLOOKUP(A8,A4:W16,3,FALSE)</f>
        <v>HR</v>
      </c>
      <c r="L26" s="11" t="s">
        <v>156</v>
      </c>
      <c r="M26" s="11">
        <f>COUNTIF(C2:C16,"Sales")</f>
        <v>5</v>
      </c>
    </row>
    <row r="28" spans="5:13" x14ac:dyDescent="0.3">
      <c r="L28" s="12" t="s">
        <v>157</v>
      </c>
      <c r="M28" s="12">
        <f>COUNTIFS(E10:E16,"Female",D10:D16,"North")</f>
        <v>0</v>
      </c>
    </row>
    <row r="30" spans="5:13" x14ac:dyDescent="0.3">
      <c r="E30" s="23" t="s">
        <v>168</v>
      </c>
      <c r="F30" s="23">
        <f>_xlfn.XLOOKUP(B10,B4:B16,N4:N16,"Not Found")</f>
        <v>175000</v>
      </c>
    </row>
    <row r="31" spans="5:13" x14ac:dyDescent="0.3">
      <c r="L31" s="13" t="s">
        <v>158</v>
      </c>
      <c r="M31" s="13">
        <f>SUMIF(C10:C16,"IT",'Sales Data'!G10:G16)</f>
        <v>134000</v>
      </c>
    </row>
    <row r="33" spans="5:13" x14ac:dyDescent="0.3">
      <c r="E33" s="22" t="s">
        <v>169</v>
      </c>
      <c r="F33" s="22">
        <f>_xlfn.XLOOKUP("Meera Joshi",B4:B16,N4:N16,"Not Found")</f>
        <v>313000</v>
      </c>
    </row>
    <row r="34" spans="5:13" x14ac:dyDescent="0.3">
      <c r="L34" s="14" t="s">
        <v>159</v>
      </c>
      <c r="M34" s="14">
        <f>SUMIFS(P10:P16,C10:C16,"Sales",D10:D16,"East")</f>
        <v>704000</v>
      </c>
    </row>
    <row r="37" spans="5:13" x14ac:dyDescent="0.3">
      <c r="L37" s="16" t="s">
        <v>160</v>
      </c>
      <c r="M37" s="16">
        <f>MAX(N10:N16)</f>
        <v>293000</v>
      </c>
    </row>
    <row r="40" spans="5:13" x14ac:dyDescent="0.3">
      <c r="L40" s="15" t="s">
        <v>161</v>
      </c>
      <c r="M40" s="15">
        <f>MIN(N10:N16)</f>
        <v>93000</v>
      </c>
    </row>
    <row r="44" spans="5:13" x14ac:dyDescent="0.3">
      <c r="L44" s="14" t="s">
        <v>162</v>
      </c>
      <c r="M44" s="14">
        <f>AVERAGE(N2:N16)</f>
        <v>195133.33333333334</v>
      </c>
    </row>
    <row r="47" spans="5:13" x14ac:dyDescent="0.3">
      <c r="L47" s="17" t="s">
        <v>163</v>
      </c>
      <c r="M47" s="17">
        <f>_xlfn.STDEV.P(N2:N16)</f>
        <v>74193.321053103486</v>
      </c>
    </row>
    <row r="51" spans="12:13" x14ac:dyDescent="0.3">
      <c r="L51" s="18" t="s">
        <v>164</v>
      </c>
      <c r="M51" s="18">
        <f>MEDIAN(N2:N16)</f>
        <v>196000</v>
      </c>
    </row>
    <row r="55" spans="12:13" x14ac:dyDescent="0.3">
      <c r="L55" s="9" t="s">
        <v>165</v>
      </c>
      <c r="M55" s="9">
        <f>_xlfn.QUARTILE.EXC(N2:N16,1)</f>
        <v>142000</v>
      </c>
    </row>
    <row r="59" spans="12:13" x14ac:dyDescent="0.3">
      <c r="L59" s="19" t="s">
        <v>166</v>
      </c>
      <c r="M59" s="19">
        <f>_xlfn.QUARTILE.EXC(N2:N16,3)</f>
        <v>269000</v>
      </c>
    </row>
  </sheetData>
  <autoFilter ref="A1:W16" xr:uid="{00000000-0001-0000-0000-000000000000}"/>
  <pageMargins left="0.75" right="0.75" top="1" bottom="1" header="0.5" footer="0.5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7D9536A-DFB6-4AB3-B078-C1BB59411ABF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'Sales Data'!G2:I2</xm:f>
              <xm:sqref>X2</xm:sqref>
            </x14:sparkline>
            <x14:sparkline>
              <xm:f>'Sales Data'!G3:I3</xm:f>
              <xm:sqref>X3</xm:sqref>
            </x14:sparkline>
            <x14:sparkline>
              <xm:f>'Sales Data'!G4:I4</xm:f>
              <xm:sqref>X4</xm:sqref>
            </x14:sparkline>
            <x14:sparkline>
              <xm:f>'Sales Data'!G5:I5</xm:f>
              <xm:sqref>X5</xm:sqref>
            </x14:sparkline>
            <x14:sparkline>
              <xm:f>'Sales Data'!G6:I6</xm:f>
              <xm:sqref>X6</xm:sqref>
            </x14:sparkline>
            <x14:sparkline>
              <xm:f>'Sales Data'!G7:I7</xm:f>
              <xm:sqref>X7</xm:sqref>
            </x14:sparkline>
            <x14:sparkline>
              <xm:f>'Sales Data'!G8:I8</xm:f>
              <xm:sqref>X8</xm:sqref>
            </x14:sparkline>
            <x14:sparkline>
              <xm:f>'Sales Data'!G9:I9</xm:f>
              <xm:sqref>X9</xm:sqref>
            </x14:sparkline>
            <x14:sparkline>
              <xm:f>'Sales Data'!G10:I10</xm:f>
              <xm:sqref>X10</xm:sqref>
            </x14:sparkline>
            <x14:sparkline>
              <xm:f>'Sales Data'!G11:I11</xm:f>
              <xm:sqref>X11</xm:sqref>
            </x14:sparkline>
            <x14:sparkline>
              <xm:f>'Sales Data'!G12:I12</xm:f>
              <xm:sqref>X12</xm:sqref>
            </x14:sparkline>
            <x14:sparkline>
              <xm:f>'Sales Data'!G13:I13</xm:f>
              <xm:sqref>X13</xm:sqref>
            </x14:sparkline>
            <x14:sparkline>
              <xm:f>'Sales Data'!G14:I14</xm:f>
              <xm:sqref>X14</xm:sqref>
            </x14:sparkline>
            <x14:sparkline>
              <xm:f>'Sales Data'!G15:I15</xm:f>
              <xm:sqref>X15</xm:sqref>
            </x14:sparkline>
            <x14:sparkline>
              <xm:f>'Sales Data'!G16:I16</xm:f>
              <xm:sqref>X16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"/>
  <sheetViews>
    <sheetView zoomScale="116" workbookViewId="0">
      <pane ySplit="2" topLeftCell="A34" activePane="bottomLeft" state="frozen"/>
      <selection pane="bottomLeft" activeCell="D5" sqref="D5"/>
    </sheetView>
  </sheetViews>
  <sheetFormatPr defaultRowHeight="14.4" x14ac:dyDescent="0.3"/>
  <cols>
    <col min="1" max="1" width="4" customWidth="1"/>
    <col min="2" max="2" width="108.88671875" customWidth="1"/>
    <col min="3" max="3" width="38" customWidth="1"/>
    <col min="4" max="4" width="19.88671875" customWidth="1"/>
  </cols>
  <sheetData>
    <row r="1" spans="1:4" ht="28.05" customHeight="1" x14ac:dyDescent="0.3">
      <c r="A1" s="4" t="s">
        <v>74</v>
      </c>
      <c r="B1" s="5"/>
      <c r="C1" s="5"/>
      <c r="D1" s="5"/>
    </row>
    <row r="2" spans="1:4" ht="18" customHeight="1" x14ac:dyDescent="0.3">
      <c r="A2" s="7" t="s">
        <v>75</v>
      </c>
      <c r="B2" s="5"/>
      <c r="C2" s="5"/>
      <c r="D2" s="5"/>
    </row>
    <row r="3" spans="1:4" ht="7.95" customHeight="1" x14ac:dyDescent="0.3"/>
    <row r="4" spans="1:4" ht="22.05" customHeight="1" x14ac:dyDescent="0.3">
      <c r="A4" s="6" t="s">
        <v>76</v>
      </c>
      <c r="B4" s="5"/>
      <c r="C4" s="5"/>
      <c r="D4" s="5"/>
    </row>
    <row r="5" spans="1:4" ht="22.05" customHeight="1" x14ac:dyDescent="0.3">
      <c r="B5" s="1" t="s">
        <v>77</v>
      </c>
      <c r="C5" s="2" t="s">
        <v>78</v>
      </c>
      <c r="D5" s="20" t="s">
        <v>79</v>
      </c>
    </row>
    <row r="6" spans="1:4" ht="22.05" customHeight="1" x14ac:dyDescent="0.3">
      <c r="B6" s="1" t="s">
        <v>80</v>
      </c>
      <c r="C6" s="2" t="s">
        <v>81</v>
      </c>
      <c r="D6" s="3" t="s">
        <v>79</v>
      </c>
    </row>
    <row r="7" spans="1:4" ht="22.05" customHeight="1" x14ac:dyDescent="0.3">
      <c r="B7" s="1" t="s">
        <v>82</v>
      </c>
      <c r="C7" s="2" t="s">
        <v>83</v>
      </c>
      <c r="D7" s="3" t="s">
        <v>79</v>
      </c>
    </row>
    <row r="8" spans="1:4" ht="22.05" customHeight="1" x14ac:dyDescent="0.3">
      <c r="B8" s="1" t="s">
        <v>84</v>
      </c>
      <c r="C8" s="2" t="s">
        <v>85</v>
      </c>
      <c r="D8" s="3" t="s">
        <v>79</v>
      </c>
    </row>
    <row r="9" spans="1:4" ht="22.05" customHeight="1" x14ac:dyDescent="0.3">
      <c r="B9" s="1" t="s">
        <v>86</v>
      </c>
      <c r="C9" s="2" t="s">
        <v>87</v>
      </c>
      <c r="D9" s="3" t="s">
        <v>79</v>
      </c>
    </row>
    <row r="10" spans="1:4" ht="7.95" customHeight="1" x14ac:dyDescent="0.3"/>
    <row r="11" spans="1:4" ht="22.05" customHeight="1" x14ac:dyDescent="0.3">
      <c r="A11" s="6" t="s">
        <v>88</v>
      </c>
      <c r="B11" s="5"/>
      <c r="C11" s="5"/>
      <c r="D11" s="5"/>
    </row>
    <row r="12" spans="1:4" ht="22.05" customHeight="1" x14ac:dyDescent="0.3">
      <c r="B12" s="1" t="s">
        <v>89</v>
      </c>
      <c r="C12" s="2" t="s">
        <v>90</v>
      </c>
      <c r="D12" s="3" t="s">
        <v>79</v>
      </c>
    </row>
    <row r="13" spans="1:4" ht="22.05" customHeight="1" x14ac:dyDescent="0.3">
      <c r="B13" s="1" t="s">
        <v>91</v>
      </c>
      <c r="C13" s="2" t="s">
        <v>92</v>
      </c>
      <c r="D13" s="3" t="s">
        <v>79</v>
      </c>
    </row>
    <row r="14" spans="1:4" ht="31.95" customHeight="1" x14ac:dyDescent="0.3">
      <c r="B14" s="1" t="s">
        <v>93</v>
      </c>
      <c r="C14" s="2" t="s">
        <v>94</v>
      </c>
      <c r="D14" s="3" t="s">
        <v>79</v>
      </c>
    </row>
    <row r="15" spans="1:4" ht="22.05" customHeight="1" x14ac:dyDescent="0.3">
      <c r="B15" s="1" t="s">
        <v>95</v>
      </c>
      <c r="C15" s="2" t="s">
        <v>96</v>
      </c>
      <c r="D15" s="3" t="s">
        <v>79</v>
      </c>
    </row>
    <row r="16" spans="1:4" ht="22.05" customHeight="1" x14ac:dyDescent="0.3">
      <c r="B16" s="1" t="s">
        <v>97</v>
      </c>
      <c r="C16" s="2" t="s">
        <v>98</v>
      </c>
      <c r="D16" s="3" t="s">
        <v>79</v>
      </c>
    </row>
    <row r="17" spans="1:4" ht="7.95" customHeight="1" x14ac:dyDescent="0.3"/>
    <row r="18" spans="1:4" ht="22.05" customHeight="1" x14ac:dyDescent="0.3">
      <c r="A18" s="6" t="s">
        <v>99</v>
      </c>
      <c r="B18" s="5"/>
      <c r="C18" s="5"/>
      <c r="D18" s="5"/>
    </row>
    <row r="19" spans="1:4" ht="22.05" customHeight="1" x14ac:dyDescent="0.3">
      <c r="B19" s="1" t="s">
        <v>100</v>
      </c>
      <c r="C19" s="2" t="s">
        <v>101</v>
      </c>
      <c r="D19" s="3" t="s">
        <v>79</v>
      </c>
    </row>
    <row r="20" spans="1:4" ht="31.95" customHeight="1" x14ac:dyDescent="0.3">
      <c r="B20" s="1" t="s">
        <v>102</v>
      </c>
      <c r="C20" s="2" t="s">
        <v>103</v>
      </c>
      <c r="D20" s="3" t="s">
        <v>79</v>
      </c>
    </row>
    <row r="21" spans="1:4" ht="22.05" customHeight="1" x14ac:dyDescent="0.3">
      <c r="B21" s="1" t="s">
        <v>104</v>
      </c>
      <c r="C21" s="2" t="s">
        <v>105</v>
      </c>
      <c r="D21" s="3" t="s">
        <v>79</v>
      </c>
    </row>
    <row r="22" spans="1:4" ht="7.95" customHeight="1" x14ac:dyDescent="0.3"/>
    <row r="23" spans="1:4" ht="22.05" customHeight="1" x14ac:dyDescent="0.3">
      <c r="A23" s="6" t="s">
        <v>106</v>
      </c>
      <c r="B23" s="5"/>
      <c r="C23" s="5"/>
      <c r="D23" s="5"/>
    </row>
    <row r="24" spans="1:4" ht="22.05" customHeight="1" x14ac:dyDescent="0.3">
      <c r="B24" s="1" t="s">
        <v>107</v>
      </c>
      <c r="C24" s="2" t="s">
        <v>108</v>
      </c>
      <c r="D24" s="3" t="s">
        <v>79</v>
      </c>
    </row>
    <row r="25" spans="1:4" ht="22.05" customHeight="1" x14ac:dyDescent="0.3">
      <c r="B25" s="1" t="s">
        <v>109</v>
      </c>
      <c r="C25" s="2" t="s">
        <v>110</v>
      </c>
      <c r="D25" s="3" t="s">
        <v>79</v>
      </c>
    </row>
    <row r="26" spans="1:4" ht="22.05" customHeight="1" x14ac:dyDescent="0.3">
      <c r="B26" s="1" t="s">
        <v>111</v>
      </c>
      <c r="C26" s="2" t="s">
        <v>112</v>
      </c>
      <c r="D26" s="3" t="s">
        <v>79</v>
      </c>
    </row>
    <row r="27" spans="1:4" ht="22.05" customHeight="1" x14ac:dyDescent="0.3">
      <c r="B27" s="1" t="s">
        <v>113</v>
      </c>
      <c r="C27" s="2" t="s">
        <v>114</v>
      </c>
      <c r="D27" s="3" t="s">
        <v>79</v>
      </c>
    </row>
    <row r="28" spans="1:4" ht="22.05" customHeight="1" x14ac:dyDescent="0.3">
      <c r="B28" s="1" t="s">
        <v>115</v>
      </c>
      <c r="C28" s="2" t="s">
        <v>116</v>
      </c>
      <c r="D28" s="3" t="s">
        <v>79</v>
      </c>
    </row>
    <row r="29" spans="1:4" ht="22.05" customHeight="1" x14ac:dyDescent="0.3">
      <c r="B29" s="1" t="s">
        <v>117</v>
      </c>
      <c r="C29" s="2" t="s">
        <v>118</v>
      </c>
      <c r="D29" s="3" t="s">
        <v>79</v>
      </c>
    </row>
    <row r="30" spans="1:4" ht="22.05" customHeight="1" x14ac:dyDescent="0.3">
      <c r="B30" s="1" t="s">
        <v>119</v>
      </c>
      <c r="C30" s="2" t="s">
        <v>120</v>
      </c>
      <c r="D30" s="3" t="s">
        <v>79</v>
      </c>
    </row>
    <row r="31" spans="1:4" ht="22.05" customHeight="1" x14ac:dyDescent="0.3">
      <c r="B31" s="1" t="s">
        <v>121</v>
      </c>
      <c r="C31" s="2" t="s">
        <v>122</v>
      </c>
      <c r="D31" s="3" t="s">
        <v>79</v>
      </c>
    </row>
    <row r="32" spans="1:4" ht="7.95" customHeight="1" x14ac:dyDescent="0.3"/>
    <row r="33" spans="1:4" ht="22.05" customHeight="1" x14ac:dyDescent="0.3">
      <c r="A33" s="6" t="s">
        <v>123</v>
      </c>
      <c r="B33" s="5"/>
      <c r="C33" s="5"/>
      <c r="D33" s="5"/>
    </row>
    <row r="34" spans="1:4" ht="22.05" customHeight="1" x14ac:dyDescent="0.3">
      <c r="B34" s="1" t="s">
        <v>124</v>
      </c>
      <c r="C34" s="2" t="s">
        <v>125</v>
      </c>
      <c r="D34" s="3" t="s">
        <v>79</v>
      </c>
    </row>
    <row r="35" spans="1:4" ht="22.05" customHeight="1" x14ac:dyDescent="0.3">
      <c r="B35" s="1" t="s">
        <v>126</v>
      </c>
      <c r="C35" s="2" t="s">
        <v>127</v>
      </c>
      <c r="D35" s="3" t="s">
        <v>79</v>
      </c>
    </row>
    <row r="36" spans="1:4" ht="7.95" customHeight="1" x14ac:dyDescent="0.3"/>
    <row r="37" spans="1:4" ht="22.05" customHeight="1" x14ac:dyDescent="0.3">
      <c r="A37" s="6" t="s">
        <v>128</v>
      </c>
      <c r="B37" s="5"/>
      <c r="C37" s="5"/>
      <c r="D37" s="5"/>
    </row>
    <row r="38" spans="1:4" ht="22.05" customHeight="1" x14ac:dyDescent="0.3">
      <c r="B38" s="1" t="s">
        <v>129</v>
      </c>
      <c r="C38" s="2" t="s">
        <v>130</v>
      </c>
      <c r="D38" s="3" t="s">
        <v>79</v>
      </c>
    </row>
    <row r="39" spans="1:4" ht="22.05" customHeight="1" x14ac:dyDescent="0.3">
      <c r="B39" s="1" t="s">
        <v>131</v>
      </c>
      <c r="C39" s="2" t="s">
        <v>132</v>
      </c>
      <c r="D39" s="3" t="s">
        <v>79</v>
      </c>
    </row>
    <row r="40" spans="1:4" ht="22.05" customHeight="1" x14ac:dyDescent="0.3">
      <c r="B40" s="1" t="s">
        <v>133</v>
      </c>
      <c r="C40" s="2" t="s">
        <v>134</v>
      </c>
      <c r="D40" s="3" t="s">
        <v>79</v>
      </c>
    </row>
    <row r="41" spans="1:4" ht="31.95" customHeight="1" x14ac:dyDescent="0.3">
      <c r="B41" s="1" t="s">
        <v>135</v>
      </c>
      <c r="C41" s="2" t="s">
        <v>136</v>
      </c>
      <c r="D41" s="3" t="s">
        <v>79</v>
      </c>
    </row>
    <row r="42" spans="1:4" ht="22.05" customHeight="1" x14ac:dyDescent="0.3">
      <c r="B42" s="1" t="s">
        <v>137</v>
      </c>
      <c r="C42" s="2" t="s">
        <v>138</v>
      </c>
      <c r="D42" s="3" t="s">
        <v>79</v>
      </c>
    </row>
    <row r="43" spans="1:4" ht="22.05" customHeight="1" x14ac:dyDescent="0.3">
      <c r="B43" s="1" t="s">
        <v>139</v>
      </c>
      <c r="C43" s="2" t="s">
        <v>140</v>
      </c>
      <c r="D43" s="3" t="s">
        <v>79</v>
      </c>
    </row>
    <row r="44" spans="1:4" ht="22.05" customHeight="1" x14ac:dyDescent="0.3">
      <c r="B44" s="1" t="s">
        <v>141</v>
      </c>
      <c r="C44" s="2" t="s">
        <v>142</v>
      </c>
      <c r="D44" s="3" t="s">
        <v>79</v>
      </c>
    </row>
    <row r="45" spans="1:4" ht="7.95" customHeight="1" x14ac:dyDescent="0.3"/>
    <row r="46" spans="1:4" ht="22.05" customHeight="1" x14ac:dyDescent="0.3">
      <c r="A46" s="6" t="s">
        <v>143</v>
      </c>
      <c r="B46" s="5"/>
      <c r="C46" s="5"/>
      <c r="D46" s="5"/>
    </row>
  </sheetData>
  <mergeCells count="9">
    <mergeCell ref="A46:D46"/>
    <mergeCell ref="A1:D1"/>
    <mergeCell ref="A23:D23"/>
    <mergeCell ref="A18:D18"/>
    <mergeCell ref="A37:D37"/>
    <mergeCell ref="A4:D4"/>
    <mergeCell ref="A2:D2"/>
    <mergeCell ref="A11:D1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Unique Department </vt:lpstr>
      <vt:lpstr>Sales Data</vt:lpstr>
      <vt:lpstr>📋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gopal behera</cp:lastModifiedBy>
  <dcterms:created xsi:type="dcterms:W3CDTF">2026-05-25T16:35:25Z</dcterms:created>
  <dcterms:modified xsi:type="dcterms:W3CDTF">2026-05-26T12:12:54Z</dcterms:modified>
</cp:coreProperties>
</file>