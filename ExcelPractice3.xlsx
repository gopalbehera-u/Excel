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her\Downloads\"/>
    </mc:Choice>
  </mc:AlternateContent>
  <xr:revisionPtr revIDLastSave="0" documentId="13_ncr:1_{8D032C80-A24F-4537-A570-5A65A77FDBA1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Patient Records" sheetId="1" r:id="rId5"/>
    <sheet name="📋 Tasks" sheetId="2" r:id="rId6"/>
  </sheets>
  <definedNames>
    <definedName name="_xlnm._FilterDatabase" localSheetId="4" hidden="1">'Patient Records'!$B$1:$V$26</definedName>
  </definedName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" i="1"/>
  <c r="Q47" i="1"/>
  <c r="R43" i="1"/>
  <c r="R40" i="1"/>
  <c r="F46" i="1"/>
  <c r="F43" i="1"/>
  <c r="F40" i="1"/>
  <c r="I62" i="1"/>
  <c r="I59" i="1"/>
  <c r="I56" i="1"/>
  <c r="I52" i="1"/>
  <c r="I49" i="1"/>
  <c r="I46" i="1"/>
  <c r="I43" i="1"/>
  <c r="I41" i="1"/>
  <c r="M51" i="1"/>
  <c r="M48" i="1"/>
  <c r="M44" i="1"/>
  <c r="M40" i="1"/>
  <c r="M37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I38" i="1" s="1"/>
  <c r="P20" i="1"/>
  <c r="P21" i="1"/>
  <c r="P22" i="1"/>
  <c r="P23" i="1"/>
  <c r="P24" i="1"/>
  <c r="P25" i="1"/>
  <c r="P26" i="1"/>
  <c r="P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" i="1"/>
  <c r="R4" i="1"/>
  <c r="R16" i="1"/>
  <c r="Q3" i="1"/>
  <c r="R3" i="1" s="1"/>
  <c r="Q4" i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" i="1"/>
  <c r="R2" i="1" s="1"/>
  <c r="F49" i="1" l="1"/>
  <c r="F52" i="1"/>
</calcChain>
</file>

<file path=xl/sharedStrings.xml><?xml version="1.0" encoding="utf-8"?>
<sst xmlns="http://schemas.openxmlformats.org/spreadsheetml/2006/main" count="469" uniqueCount="226">
  <si>
    <t>PatientID</t>
  </si>
  <si>
    <t>PatientName</t>
  </si>
  <si>
    <t>Age</t>
  </si>
  <si>
    <t>Gender</t>
  </si>
  <si>
    <t>BloodGroup</t>
  </si>
  <si>
    <t>Department</t>
  </si>
  <si>
    <t>Doctor</t>
  </si>
  <si>
    <t>AdmissionDate</t>
  </si>
  <si>
    <t>DischargeDate</t>
  </si>
  <si>
    <t>DiagnosisType</t>
  </si>
  <si>
    <t>TreatmentCost</t>
  </si>
  <si>
    <t>InsuranceCovered</t>
  </si>
  <si>
    <t>Recovered</t>
  </si>
  <si>
    <t>Readmitted</t>
  </si>
  <si>
    <t>Rating</t>
  </si>
  <si>
    <t>P001</t>
  </si>
  <si>
    <t>Aarav Sharma</t>
  </si>
  <si>
    <t>Male</t>
  </si>
  <si>
    <t>A+</t>
  </si>
  <si>
    <t>Cardiology</t>
  </si>
  <si>
    <t>Dr. Mehta</t>
  </si>
  <si>
    <t>2024-01-05</t>
  </si>
  <si>
    <t>2024-01-12</t>
  </si>
  <si>
    <t>Chronic</t>
  </si>
  <si>
    <t>Yes</t>
  </si>
  <si>
    <t>No</t>
  </si>
  <si>
    <t>P002</t>
  </si>
  <si>
    <t>Priya Nair</t>
  </si>
  <si>
    <t>Female</t>
  </si>
  <si>
    <t>B+</t>
  </si>
  <si>
    <t>Orthopedics</t>
  </si>
  <si>
    <t>Dr. Rao</t>
  </si>
  <si>
    <t>2024-01-08</t>
  </si>
  <si>
    <t>2024-01-15</t>
  </si>
  <si>
    <t>Acute</t>
  </si>
  <si>
    <t>P003</t>
  </si>
  <si>
    <t>Rohit Verma</t>
  </si>
  <si>
    <t>O+</t>
  </si>
  <si>
    <t>Neurology</t>
  </si>
  <si>
    <t>Dr. Singh</t>
  </si>
  <si>
    <t>2024-01-10</t>
  </si>
  <si>
    <t>2024-01-20</t>
  </si>
  <si>
    <t>P004</t>
  </si>
  <si>
    <t>Sneha Pillai</t>
  </si>
  <si>
    <t>AB+</t>
  </si>
  <si>
    <t>2024-01-18</t>
  </si>
  <si>
    <t>P005</t>
  </si>
  <si>
    <t>Karan Patel</t>
  </si>
  <si>
    <t>A-</t>
  </si>
  <si>
    <t>Oncology</t>
  </si>
  <si>
    <t>Dr. Joshi</t>
  </si>
  <si>
    <t>2024-02-01</t>
  </si>
  <si>
    <t>P006</t>
  </si>
  <si>
    <t>Divya Reddy</t>
  </si>
  <si>
    <t>B-</t>
  </si>
  <si>
    <t>2024-01-22</t>
  </si>
  <si>
    <t>P007</t>
  </si>
  <si>
    <t>Arjun Das</t>
  </si>
  <si>
    <t>O-</t>
  </si>
  <si>
    <t>2024-01-28</t>
  </si>
  <si>
    <t>P008</t>
  </si>
  <si>
    <t>Meera Joshi</t>
  </si>
  <si>
    <t>2024-01-30</t>
  </si>
  <si>
    <t>P009</t>
  </si>
  <si>
    <t>Vikram Shah</t>
  </si>
  <si>
    <t>2024-01-25</t>
  </si>
  <si>
    <t>2024-02-10</t>
  </si>
  <si>
    <t>P010</t>
  </si>
  <si>
    <t>Ananya Kumar</t>
  </si>
  <si>
    <t>2024-02-02</t>
  </si>
  <si>
    <t>P011</t>
  </si>
  <si>
    <t>Rahul Iyer</t>
  </si>
  <si>
    <t>AB-</t>
  </si>
  <si>
    <t>P012</t>
  </si>
  <si>
    <t>Pooja Mehta</t>
  </si>
  <si>
    <t>2024-02-03</t>
  </si>
  <si>
    <t>2024-02-09</t>
  </si>
  <si>
    <t>P013</t>
  </si>
  <si>
    <t>Nikhil Rao</t>
  </si>
  <si>
    <t>2024-02-05</t>
  </si>
  <si>
    <t>2024-02-20</t>
  </si>
  <si>
    <t>P014</t>
  </si>
  <si>
    <t>Kavya Singh</t>
  </si>
  <si>
    <t>2024-02-08</t>
  </si>
  <si>
    <t>2024-02-12</t>
  </si>
  <si>
    <t>P015</t>
  </si>
  <si>
    <t>Siddharth Das</t>
  </si>
  <si>
    <t>2024-02-22</t>
  </si>
  <si>
    <t>P016</t>
  </si>
  <si>
    <t>Lakshmi Nair</t>
  </si>
  <si>
    <t>2024-02-18</t>
  </si>
  <si>
    <t>P017</t>
  </si>
  <si>
    <t>Aditya Patel</t>
  </si>
  <si>
    <t>2024-02-15</t>
  </si>
  <si>
    <t>2024-02-19</t>
  </si>
  <si>
    <t>P018</t>
  </si>
  <si>
    <t>Nisha Verma</t>
  </si>
  <si>
    <t>2024-03-05</t>
  </si>
  <si>
    <t>P019</t>
  </si>
  <si>
    <t>Rajesh Kumar</t>
  </si>
  <si>
    <t>2024-03-02</t>
  </si>
  <si>
    <t>P020</t>
  </si>
  <si>
    <t>Sunita Shah</t>
  </si>
  <si>
    <t>2024-02-28</t>
  </si>
  <si>
    <t>P021</t>
  </si>
  <si>
    <t>Amit Sharma</t>
  </si>
  <si>
    <t>2024-03-01</t>
  </si>
  <si>
    <t>2024-03-15</t>
  </si>
  <si>
    <t>P022</t>
  </si>
  <si>
    <t>Deepa Rao</t>
  </si>
  <si>
    <t>2024-03-03</t>
  </si>
  <si>
    <t>2024-03-07</t>
  </si>
  <si>
    <t>P023</t>
  </si>
  <si>
    <t>Suresh Iyer</t>
  </si>
  <si>
    <t>2024-03-14</t>
  </si>
  <si>
    <t>P024</t>
  </si>
  <si>
    <t>Rekha Pillai</t>
  </si>
  <si>
    <t>2024-03-08</t>
  </si>
  <si>
    <t>2024-03-16</t>
  </si>
  <si>
    <t>P025</t>
  </si>
  <si>
    <t>Vijay Das</t>
  </si>
  <si>
    <t>2024-03-10</t>
  </si>
  <si>
    <t>2024-03-25</t>
  </si>
  <si>
    <t>🏥 Excel Practice 3 — Hospital Patient Records  |  No hints this time — try yourself!</t>
  </si>
  <si>
    <t>Dataset: 25 patients | 15 columns | Work in Patient Records sheet. Ask for help only if truly stuck!</t>
  </si>
  <si>
    <t>📁 SECTION 1 — Computed Columns  (add to the right of existing data)</t>
  </si>
  <si>
    <t>1. Add 'OutOfPocket' column = TreatmentCost − InsuranceCovered</t>
  </si>
  <si>
    <t>☐ Done</t>
  </si>
  <si>
    <t>2. Add 'StayDays' column = DischargeDate − AdmissionDate  (hint: just subtract the two date cells)</t>
  </si>
  <si>
    <t>3. Add 'CostPerDay' column = TreatmentCost / StayDays</t>
  </si>
  <si>
    <t>4. Add 'InsuranceRate%' column = InsuranceCovered / TreatmentCost × 100</t>
  </si>
  <si>
    <t>5. Add 'AgeGroup' column using IFS:
   Age &lt; 30 → 'Young'  |  Age &lt; 50 → 'Middle'  |  Age &lt; 65 → 'Senior'  |  else → 'Elderly'</t>
  </si>
  <si>
    <t>6. Add 'RecoveryStatus' using IF:
   Recovered = Yes AND Readmitted = No → 'Full Recovery'
   Recovered = Yes AND Readmitted = Yes → 'Partial Recovery'
   else → 'No Recovery'</t>
  </si>
  <si>
    <t>7. Add 'RatingLabel' using IF:
   Rating ≥ 4.5 → 'Excellent'  |  Rating ≥ 4.0 → 'Good'  |  Rating ≥ 3.5 → 'Average'  |  else → 'Poor'</t>
  </si>
  <si>
    <t>8. Add 'CostCategory' using IF:
   TreatmentCost &gt; 200000 → 'High Cost'  |  &gt; 100000 → 'Medium Cost'  |  else → 'Low Cost'</t>
  </si>
  <si>
    <t>🔢 SECTION 2 — Aggregation Formulas  (write answers in empty cells below data)</t>
  </si>
  <si>
    <t>9. Total TreatmentCost of ALL patients using SUM</t>
  </si>
  <si>
    <t>10. Average TreatmentCost using AVERAGE</t>
  </si>
  <si>
    <t>11. Count of patients who Recovered = 'Yes' using COUNTIF</t>
  </si>
  <si>
    <t>12. Count of Female patients in Cardiology using COUNTIFS</t>
  </si>
  <si>
    <t>13. Total TreatmentCost for Oncology department using SUMIF</t>
  </si>
  <si>
    <t>14. Total OutOfPocket for Chronic DiagnosisType AND Female patients using SUMIFS</t>
  </si>
  <si>
    <t>15. MAX TreatmentCost and MIN TreatmentCost</t>
  </si>
  <si>
    <t>16. MAXIFS — highest TreatmentCost in Cardiology department</t>
  </si>
  <si>
    <t>17. MINIFS — lowest TreatmentCost for patients who Recovered = 'Yes'</t>
  </si>
  <si>
    <t>18. MEDIAN of TreatmentCost</t>
  </si>
  <si>
    <t>19. STDEV.S of TreatmentCost</t>
  </si>
  <si>
    <t>20. QUARTILE — find Q1 and Q3 of TreatmentCost</t>
  </si>
  <si>
    <t>📊 SECTION 3 — SUBTOTAL &amp; AGGREGATE</t>
  </si>
  <si>
    <t>21. Use SUBTOTAL(9,...) to SUM TreatmentCost
    Then apply filter → Department = Cardiology → observe the change!</t>
  </si>
  <si>
    <t>22. Use SUBTOTAL(1,...) for AVERAGE Rating</t>
  </si>
  <si>
    <t>23. Use SUBTOTAL(103,...) to COUNT patients</t>
  </si>
  <si>
    <t>24. Use AGGREGATE(9,5,...) to SUM OutOfPocket ignoring errors</t>
  </si>
  <si>
    <t>25. Use AGGREGATE(1,7,...) for AVERAGE CostPerDay ignoring hidden + errors</t>
  </si>
  <si>
    <t>🔎 SECTION 4 — Lookup Functions</t>
  </si>
  <si>
    <t>26. VLOOKUP — find the TreatmentCost of patient P009</t>
  </si>
  <si>
    <t>27. XLOOKUP — find the Doctor name for patient 'Meera Joshi'</t>
  </si>
  <si>
    <t>28. XLOOKUP — find the Department of the most expensive patient
    (nest MAX inside XLOOKUP)</t>
  </si>
  <si>
    <t>📅 SECTION 5 — Date &amp; Text Functions</t>
  </si>
  <si>
    <t>29. Extract the Month number from AdmissionDate using MONTH()</t>
  </si>
  <si>
    <t>30. Extract the Year from AdmissionDate using YEAR()</t>
  </si>
  <si>
    <t>31. Use TEXT() to display AdmissionDate as 'DD-MMM-YYYY' format</t>
  </si>
  <si>
    <t>32. Use UPPER() on PatientName column to make all names uppercase</t>
  </si>
  <si>
    <t>33. Use LEN() to count characters in PatientName</t>
  </si>
  <si>
    <t>34. Use TEXTJOIN to combine PatientName + Department
    e.g. → 'Aarav Sharma | Cardiology'</t>
  </si>
  <si>
    <t>🎨 SECTION 6 — Conditional Formatting</t>
  </si>
  <si>
    <t>35. Color Scale on TreatmentCost — Red=high, Green=low</t>
  </si>
  <si>
    <t>36. Data Bars on Rating column</t>
  </si>
  <si>
    <t>37. Highlight TreatmentCost &gt; 200000 in RED</t>
  </si>
  <si>
    <t>38. Icon Sets (3 arrows) on Rating column</t>
  </si>
  <si>
    <t>39. Top 5 highest TreatmentCost in Orange</t>
  </si>
  <si>
    <t>40. Formula rule — highlight entire row ORANGE if Readmitted = 'Yes'
    Formula: =$N2="Yes"  applied to A2:O26</t>
  </si>
  <si>
    <t>🔄 SECTION 7 — Pivot Tables</t>
  </si>
  <si>
    <t>41. Pivot 1 — Total TreatmentCost by Department</t>
  </si>
  <si>
    <t>42. Pivot 2 — Count of patients by Department AND Gender (cross tab)</t>
  </si>
  <si>
    <t>43. Pivot 3 — Average Rating by Doctor</t>
  </si>
  <si>
    <t>44. Pivot 4 — Total OutOfPocket by AgeGroup AND DiagnosisType</t>
  </si>
  <si>
    <t>45. Add a Slicer for 'Recovered' field on any pivot</t>
  </si>
  <si>
    <t>46. Insert a PivotChart (Column chart) from Pivot 1</t>
  </si>
  <si>
    <t>🏆 BONUS CHALLENGES</t>
  </si>
  <si>
    <t>47. UNIQUE — get list of all unique Departments</t>
  </si>
  <si>
    <t>48. SORT — sort PatientName A to Z</t>
  </si>
  <si>
    <t>49. Use MODE.SNGL on Rating column — which rating appears most?</t>
  </si>
  <si>
    <t>50. Find IQR = Q3 - Q1 of TreatmentCost</t>
  </si>
  <si>
    <t>OutOfPocket</t>
  </si>
  <si>
    <t>StayDays</t>
  </si>
  <si>
    <t>CostPerDay</t>
  </si>
  <si>
    <t>AgeGroup</t>
  </si>
  <si>
    <t>RecoveryStatus</t>
  </si>
  <si>
    <t xml:space="preserve"> RatingLabel</t>
  </si>
  <si>
    <t>CostCategory</t>
  </si>
  <si>
    <t>Total Cost</t>
  </si>
  <si>
    <t>Avearge Cost</t>
  </si>
  <si>
    <t>Recovered Patient</t>
  </si>
  <si>
    <t>Femle IN Cardiology dept</t>
  </si>
  <si>
    <t>Treatment Cost Oncology</t>
  </si>
  <si>
    <t xml:space="preserve">Chronic and Female outpocket </t>
  </si>
  <si>
    <t>MAX Treatment Cost</t>
  </si>
  <si>
    <t>MIN Treatment Cost</t>
  </si>
  <si>
    <t>MAX Treatment Cost in Cardiology</t>
  </si>
  <si>
    <t>MIN Treatment Cost IN Recovered</t>
  </si>
  <si>
    <t>Median Treatment cost</t>
  </si>
  <si>
    <t>STD of Treatment Cost</t>
  </si>
  <si>
    <t>1ST Quatrile</t>
  </si>
  <si>
    <t>3RD Quatrile</t>
  </si>
  <si>
    <t>Sum of TreatmentCost</t>
  </si>
  <si>
    <t xml:space="preserve"> AVG of Rating</t>
  </si>
  <si>
    <t>SUBTotals</t>
  </si>
  <si>
    <t>Count of Pateint</t>
  </si>
  <si>
    <t>Sum of Outpocket</t>
  </si>
  <si>
    <t>AVG Cost Per Day</t>
  </si>
  <si>
    <t>LOOKUP</t>
  </si>
  <si>
    <t>VLOOKUP</t>
  </si>
  <si>
    <t>XLOOKUP</t>
  </si>
  <si>
    <t>month</t>
  </si>
  <si>
    <t>Year</t>
  </si>
  <si>
    <t>DATE</t>
  </si>
  <si>
    <t>UPPER Name</t>
  </si>
  <si>
    <t>LEN NAME</t>
  </si>
  <si>
    <t xml:space="preserve"> NAME DEPT</t>
  </si>
  <si>
    <t>Column Labels</t>
  </si>
  <si>
    <t>Grand Total</t>
  </si>
  <si>
    <t>Count of PatientID</t>
  </si>
  <si>
    <t>Row Labels</t>
  </si>
  <si>
    <t>Average of Rating</t>
  </si>
  <si>
    <t>Sum of OutOfPocket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</si>
</sst>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i/>
      <sz val="10"/>
      <color rgb="FF455A64"/>
      <name val="Arial"/>
    </font>
    <font>
      <sz val="10"/>
      <color rgb="FF37474F"/>
      <name val="Arial"/>
    </font>
    <font>
      <sz val="11"/>
      <color rgb="FF9E9E9E"/>
      <name val="Arial"/>
    </font>
    <font>
      <b/>
      <sz val="11"/>
      <color theme="1"/>
      <name val="Calibri"/>
      <family val="2"/>
      <scheme val="minor"/>
    </font>
    <font>
      <sz val="10"/>
      <color rgb="FF37474F"/>
      <name val="Arial"/>
      <family val="2"/>
    </font>
    <font>
      <b/>
      <sz val="11"/>
      <color theme="0" tint="-0.149998474074526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00695C"/>
        <bgColor rgb="FF00695C"/>
      </patternFill>
    </fill>
    <fill>
      <patternFill patternType="solid">
        <fgColor rgb="FFE0F2F1"/>
        <bgColor rgb="FFE0F2F1"/>
      </patternFill>
    </fill>
    <fill>
      <patternFill patternType="solid">
        <fgColor rgb="FF4A148C"/>
        <bgColor rgb="FF4A148C"/>
      </patternFill>
    </fill>
    <fill>
      <patternFill patternType="solid">
        <fgColor rgb="FFECEFF1"/>
        <bgColor rgb="FFECEFF1"/>
      </patternFill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vertical="top" wrapText="1"/>
    </xf>
    <xf numFmtId="0" fontId="1" fillId="6" borderId="0" xfId="0" applyFont="1" applyFill="1" applyAlignment="1">
      <alignment horizontal="left" vertical="center" inden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7" fillId="9" borderId="2" xfId="0" applyFont="1" applyFill="1" applyBorder="1"/>
    <xf numFmtId="0" fontId="7" fillId="10" borderId="2" xfId="0" applyFont="1" applyFill="1" applyBorder="1"/>
    <xf numFmtId="0" fontId="7" fillId="11" borderId="2" xfId="0" applyFont="1" applyFill="1" applyBorder="1"/>
    <xf numFmtId="0" fontId="7" fillId="12" borderId="2" xfId="0" applyFont="1" applyFill="1" applyBorder="1"/>
    <xf numFmtId="0" fontId="7" fillId="13" borderId="2" xfId="0" applyFont="1" applyFill="1" applyBorder="1"/>
    <xf numFmtId="0" fontId="8" fillId="7" borderId="1" xfId="0" applyFont="1" applyFill="1" applyBorder="1" applyAlignment="1">
      <alignment vertical="top" wrapText="1"/>
    </xf>
    <xf numFmtId="0" fontId="7" fillId="14" borderId="2" xfId="0" applyFont="1" applyFill="1" applyBorder="1"/>
    <xf numFmtId="0" fontId="7" fillId="15" borderId="2" xfId="0" applyFont="1" applyFill="1" applyBorder="1"/>
    <xf numFmtId="0" fontId="9" fillId="16" borderId="2" xfId="0" applyFont="1" applyFill="1" applyBorder="1"/>
    <xf numFmtId="0" fontId="10" fillId="17" borderId="2" xfId="0" applyFont="1" applyFill="1" applyBorder="1"/>
    <xf numFmtId="0" fontId="7" fillId="18" borderId="2" xfId="0" applyFont="1" applyFill="1" applyBorder="1"/>
    <xf numFmtId="0" fontId="7" fillId="19" borderId="2" xfId="0" applyFont="1" applyFill="1" applyBorder="1"/>
    <xf numFmtId="0" fontId="10" fillId="19" borderId="2" xfId="0" applyFont="1" applyFill="1" applyBorder="1"/>
    <xf numFmtId="166" fontId="0" fillId="0" borderId="0" xfId="0" applyNumberFormat="1"/>
    <xf numFmtId="0" fontId="7" fillId="20" borderId="2" xfId="0" applyFont="1" applyFill="1" applyBorder="1"/>
    <xf numFmtId="1" fontId="7" fillId="20" borderId="2" xfId="0" applyNumberFormat="1" applyFont="1" applyFill="1" applyBorder="1"/>
    <xf numFmtId="0" fontId="7" fillId="21" borderId="2" xfId="0" applyFont="1" applyFill="1" applyBorder="1"/>
    <xf numFmtId="0" fontId="7" fillId="22" borderId="3" xfId="0" applyFont="1" applyFill="1" applyBorder="1" applyAlignment="1">
      <alignment horizontal="center" vertical="center"/>
    </xf>
    <xf numFmtId="0" fontId="0" fillId="22" borderId="4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2" fontId="7" fillId="18" borderId="2" xfId="0" applyNumberFormat="1" applyFont="1" applyFill="1" applyBorder="1"/>
    <xf numFmtId="0" fontId="7" fillId="23" borderId="2" xfId="0" applyFont="1" applyFill="1" applyBorder="1"/>
    <xf numFmtId="1" fontId="7" fillId="21" borderId="2" xfId="0" applyNumberFormat="1" applyFont="1" applyFill="1" applyBorder="1"/>
    <xf numFmtId="0" fontId="7" fillId="21" borderId="2" xfId="0" applyFont="1" applyFill="1" applyBorder="1" applyAlignment="1">
      <alignment horizontal="center" vertical="center"/>
    </xf>
    <xf numFmtId="0" fontId="7" fillId="24" borderId="2" xfId="0" applyFont="1" applyFill="1" applyBorder="1"/>
    <xf numFmtId="0" fontId="7" fillId="25" borderId="2" xfId="0" applyFont="1" applyFill="1" applyBorder="1"/>
    <xf numFmtId="0" fontId="11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8" fillId="8" borderId="1" xfId="0" applyFont="1" applyFill="1" applyBorder="1" applyAlignment="1">
      <alignment vertical="top" wrapText="1"/>
    </xf>
  </cellXfs>
  <cellStyles count="1">
    <cellStyle name="Normal" xfId="0" builtinId="0"/>
  </cellStyles>
  <dxfs count="10">
    <dxf>
      <numFmt numFmtId="1" formatCode="0"/>
    </dxf>
    <dxf>
      <numFmt numFmtId="166" formatCode="0.0"/>
    </dxf>
    <dxf>
      <numFmt numFmtId="166" formatCode="0.0"/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al behera" refreshedDate="46177.740956828704" createdVersion="8" refreshedVersion="8" minRefreshableVersion="3" recordCount="25" xr:uid="{4832193F-160B-4644-8042-843166235C02}">
  <cacheSource type="worksheet">
    <worksheetSource ref="A1:AB26" sheet="Patient Records"/>
  </cacheSource>
  <cacheFields count="28">
    <cacheField name="PatientID" numFmtId="0">
      <sharedItems/>
    </cacheField>
    <cacheField name="PatientName" numFmtId="0">
      <sharedItems/>
    </cacheField>
    <cacheField name="Age" numFmtId="0">
      <sharedItems containsSemiMixedTypes="0" containsString="0" containsNumber="1" containsInteger="1" minValue="26" maxValue="73" count="24">
        <n v="34"/>
        <n v="28"/>
        <n v="55"/>
        <n v="45"/>
        <n v="62"/>
        <n v="31"/>
        <n v="48"/>
        <n v="39"/>
        <n v="70"/>
        <n v="26"/>
        <n v="53"/>
        <n v="42"/>
        <n v="58"/>
        <n v="35"/>
        <n v="67"/>
        <n v="44"/>
        <n v="29"/>
        <n v="51"/>
        <n v="73"/>
        <n v="38"/>
        <n v="46"/>
        <n v="33"/>
        <n v="61"/>
        <n v="49"/>
      </sharedItems>
    </cacheField>
    <cacheField name="Gender" numFmtId="0">
      <sharedItems count="2">
        <s v="Male"/>
        <s v="Female"/>
      </sharedItems>
    </cacheField>
    <cacheField name="BloodGroup" numFmtId="0">
      <sharedItems/>
    </cacheField>
    <cacheField name="Department" numFmtId="0">
      <sharedItems count="4">
        <s v="Cardiology"/>
        <s v="Orthopedics"/>
        <s v="Neurology"/>
        <s v="Oncology"/>
      </sharedItems>
    </cacheField>
    <cacheField name="Doctor" numFmtId="0">
      <sharedItems count="4">
        <s v="Dr. Mehta"/>
        <s v="Dr. Rao"/>
        <s v="Dr. Singh"/>
        <s v="Dr. Joshi"/>
      </sharedItems>
    </cacheField>
    <cacheField name="AdmissionDate" numFmtId="0">
      <sharedItems/>
    </cacheField>
    <cacheField name="DischargeDate" numFmtId="0">
      <sharedItems/>
    </cacheField>
    <cacheField name="DiagnosisType" numFmtId="0">
      <sharedItems count="2">
        <s v="Chronic"/>
        <s v="Acute"/>
      </sharedItems>
    </cacheField>
    <cacheField name="TreatmentCost" numFmtId="0">
      <sharedItems containsSemiMixedTypes="0" containsString="0" containsNumber="1" containsInteger="1" minValue="33000" maxValue="340000"/>
    </cacheField>
    <cacheField name="InsuranceCovered" numFmtId="0">
      <sharedItems containsSemiMixedTypes="0" containsString="0" containsNumber="1" containsInteger="1" minValue="18000" maxValue="255000"/>
    </cacheField>
    <cacheField name="Recovered" numFmtId="0">
      <sharedItems/>
    </cacheField>
    <cacheField name="Readmitted" numFmtId="0">
      <sharedItems/>
    </cacheField>
    <cacheField name="Rating" numFmtId="0">
      <sharedItems containsSemiMixedTypes="0" containsString="0" containsNumber="1" minValue="3.2" maxValue="4.9000000000000004"/>
    </cacheField>
    <cacheField name="OutOfPocket" numFmtId="0">
      <sharedItems containsSemiMixedTypes="0" containsString="0" containsNumber="1" containsInteger="1" minValue="-85000" maxValue="-12000"/>
    </cacheField>
    <cacheField name="StayDays" numFmtId="0">
      <sharedItems containsSemiMixedTypes="0" containsString="0" containsNumber="1" containsInteger="1" minValue="4" maxValue="17"/>
    </cacheField>
    <cacheField name="CostPerDay" numFmtId="1">
      <sharedItems containsSemiMixedTypes="0" containsString="0" containsNumber="1" minValue="6000" maxValue="22666.666666666668"/>
    </cacheField>
    <cacheField name="AgeGroup" numFmtId="1">
      <sharedItems/>
    </cacheField>
    <cacheField name="RecoveryStatus" numFmtId="1">
      <sharedItems/>
    </cacheField>
    <cacheField name=" RatingLabel" numFmtId="1">
      <sharedItems/>
    </cacheField>
    <cacheField name="CostCategory" numFmtId="1">
      <sharedItems/>
    </cacheField>
    <cacheField name="month" numFmtId="1">
      <sharedItems containsSemiMixedTypes="0" containsString="0" containsNumber="1" containsInteger="1" minValue="1" maxValue="3"/>
    </cacheField>
    <cacheField name="Year" numFmtId="1">
      <sharedItems containsSemiMixedTypes="0" containsString="0" containsNumber="1" containsInteger="1" minValue="2024" maxValue="2024"/>
    </cacheField>
    <cacheField name="DATE" numFmtId="1">
      <sharedItems/>
    </cacheField>
    <cacheField name="UPPER Name" numFmtId="1">
      <sharedItems/>
    </cacheField>
    <cacheField name="LEN NAME" numFmtId="1">
      <sharedItems containsSemiMixedTypes="0" containsString="0" containsNumber="1" containsInteger="1" minValue="9" maxValue="13"/>
    </cacheField>
    <cacheField name=" NAME DEPT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P001"/>
    <s v="Aarav Sharma"/>
    <x v="0"/>
    <x v="0"/>
    <s v="A+"/>
    <x v="0"/>
    <x v="0"/>
    <s v="2024-01-05"/>
    <s v="2024-01-12"/>
    <x v="0"/>
    <n v="85000"/>
    <n v="60000"/>
    <s v="Yes"/>
    <s v="No"/>
    <n v="4.5"/>
    <n v="-25000"/>
    <n v="7"/>
    <n v="12142.857142857143"/>
    <s v="Middle"/>
    <s v="Partically Recovered"/>
    <s v="Excellent"/>
    <s v="High Cost"/>
    <n v="1"/>
    <n v="2024"/>
    <s v="05-Jan-2024"/>
    <s v="AARAV SHARMA"/>
    <n v="12"/>
    <s v="Aarav Sharma|Cardiology"/>
  </r>
  <r>
    <s v="P002"/>
    <s v="Priya Nair"/>
    <x v="1"/>
    <x v="1"/>
    <s v="B+"/>
    <x v="1"/>
    <x v="1"/>
    <s v="2024-01-08"/>
    <s v="2024-01-15"/>
    <x v="1"/>
    <n v="42000"/>
    <n v="30000"/>
    <s v="Yes"/>
    <s v="No"/>
    <n v="3.8"/>
    <n v="-12000"/>
    <n v="7"/>
    <n v="6000"/>
    <s v="Young"/>
    <s v="Partically Recovered"/>
    <s v="Average"/>
    <s v="High Cost"/>
    <n v="1"/>
    <n v="2024"/>
    <s v="08-Jan-2024"/>
    <s v="PRIYA NAIR"/>
    <n v="10"/>
    <s v="Priya Nair|Orthopedics"/>
  </r>
  <r>
    <s v="P003"/>
    <s v="Rohit Verma"/>
    <x v="2"/>
    <x v="0"/>
    <s v="O+"/>
    <x v="2"/>
    <x v="2"/>
    <s v="2024-01-10"/>
    <s v="2024-01-20"/>
    <x v="0"/>
    <n v="120000"/>
    <n v="90000"/>
    <s v="No"/>
    <s v="Yes"/>
    <n v="4.2"/>
    <n v="-30000"/>
    <n v="10"/>
    <n v="12000"/>
    <s v="Senior"/>
    <s v="Not recovered"/>
    <s v="Good"/>
    <s v="High Cost"/>
    <n v="1"/>
    <n v="2024"/>
    <s v="10-Jan-2024"/>
    <s v="ROHIT VERMA"/>
    <n v="11"/>
    <s v="Rohit Verma|Neurology"/>
  </r>
  <r>
    <s v="P004"/>
    <s v="Sneha Pillai"/>
    <x v="3"/>
    <x v="1"/>
    <s v="AB+"/>
    <x v="0"/>
    <x v="0"/>
    <s v="2024-01-12"/>
    <s v="2024-01-18"/>
    <x v="1"/>
    <n v="95000"/>
    <n v="70000"/>
    <s v="Yes"/>
    <s v="No"/>
    <n v="4.7"/>
    <n v="-25000"/>
    <n v="6"/>
    <n v="15833.333333333334"/>
    <s v="Middle"/>
    <s v="Partically Recovered"/>
    <s v="Excellent"/>
    <s v="High Cost"/>
    <n v="1"/>
    <n v="2024"/>
    <s v="12-Jan-2024"/>
    <s v="SNEHA PILLAI"/>
    <n v="12"/>
    <s v="Sneha Pillai|Cardiology"/>
  </r>
  <r>
    <s v="P005"/>
    <s v="Karan Patel"/>
    <x v="4"/>
    <x v="0"/>
    <s v="A-"/>
    <x v="3"/>
    <x v="3"/>
    <s v="2024-01-15"/>
    <s v="2024-02-01"/>
    <x v="0"/>
    <n v="250000"/>
    <n v="180000"/>
    <s v="No"/>
    <s v="Yes"/>
    <n v="3.5"/>
    <n v="-70000"/>
    <n v="17"/>
    <n v="14705.882352941177"/>
    <s v="Senior"/>
    <s v="Not recovered"/>
    <s v="Average"/>
    <s v="High Cost"/>
    <n v="1"/>
    <n v="2024"/>
    <s v="15-Jan-2024"/>
    <s v="KARAN PATEL"/>
    <n v="11"/>
    <s v="Karan Patel|Oncology"/>
  </r>
  <r>
    <s v="P006"/>
    <s v="Divya Reddy"/>
    <x v="5"/>
    <x v="1"/>
    <s v="B-"/>
    <x v="1"/>
    <x v="1"/>
    <s v="2024-01-18"/>
    <s v="2024-01-22"/>
    <x v="1"/>
    <n v="38000"/>
    <n v="25000"/>
    <s v="Yes"/>
    <s v="No"/>
    <n v="4.9000000000000004"/>
    <n v="-13000"/>
    <n v="4"/>
    <n v="9500"/>
    <s v="Middle"/>
    <s v="Partically Recovered"/>
    <s v="Excellent"/>
    <s v="High Cost"/>
    <n v="1"/>
    <n v="2024"/>
    <s v="18-Jan-2024"/>
    <s v="DIVYA REDDY"/>
    <n v="11"/>
    <s v="Divya Reddy|Orthopedics"/>
  </r>
  <r>
    <s v="P007"/>
    <s v="Arjun Das"/>
    <x v="6"/>
    <x v="0"/>
    <s v="O-"/>
    <x v="2"/>
    <x v="2"/>
    <s v="2024-01-20"/>
    <s v="2024-01-28"/>
    <x v="0"/>
    <n v="110000"/>
    <n v="80000"/>
    <s v="Yes"/>
    <s v="No"/>
    <n v="4.0999999999999996"/>
    <n v="-30000"/>
    <n v="8"/>
    <n v="13750"/>
    <s v="Middle"/>
    <s v="Partically Recovered"/>
    <s v="Good"/>
    <s v="High Cost"/>
    <n v="1"/>
    <n v="2024"/>
    <s v="20-Jan-2024"/>
    <s v="ARJUN DAS"/>
    <n v="9"/>
    <s v="Arjun Das|Neurology"/>
  </r>
  <r>
    <s v="P008"/>
    <s v="Meera Joshi"/>
    <x v="7"/>
    <x v="1"/>
    <s v="A+"/>
    <x v="0"/>
    <x v="0"/>
    <s v="2024-01-22"/>
    <s v="2024-01-30"/>
    <x v="1"/>
    <n v="78000"/>
    <n v="55000"/>
    <s v="Yes"/>
    <s v="No"/>
    <n v="4.5999999999999996"/>
    <n v="-23000"/>
    <n v="8"/>
    <n v="9750"/>
    <s v="Middle"/>
    <s v="Partically Recovered"/>
    <s v="Excellent"/>
    <s v="High Cost"/>
    <n v="1"/>
    <n v="2024"/>
    <s v="22-Jan-2024"/>
    <s v="MEERA JOSHI"/>
    <n v="11"/>
    <s v="Meera Joshi|Cardiology"/>
  </r>
  <r>
    <s v="P009"/>
    <s v="Vikram Shah"/>
    <x v="8"/>
    <x v="0"/>
    <s v="B+"/>
    <x v="3"/>
    <x v="3"/>
    <s v="2024-01-25"/>
    <s v="2024-02-10"/>
    <x v="0"/>
    <n v="320000"/>
    <n v="240000"/>
    <s v="No"/>
    <s v="Yes"/>
    <n v="3.2"/>
    <n v="-80000"/>
    <n v="16"/>
    <n v="20000"/>
    <s v="Early"/>
    <s v="Not recovered"/>
    <s v="Poor"/>
    <s v="High Cost"/>
    <n v="1"/>
    <n v="2024"/>
    <s v="25-Jan-2024"/>
    <s v="VIKRAM SHAH"/>
    <n v="11"/>
    <s v="Vikram Shah|Oncology"/>
  </r>
  <r>
    <s v="P010"/>
    <s v="Ananya Kumar"/>
    <x v="9"/>
    <x v="1"/>
    <s v="O+"/>
    <x v="1"/>
    <x v="1"/>
    <s v="2024-01-28"/>
    <s v="2024-02-02"/>
    <x v="1"/>
    <n v="35000"/>
    <n v="20000"/>
    <s v="Yes"/>
    <s v="No"/>
    <n v="4.8"/>
    <n v="-15000"/>
    <n v="5"/>
    <n v="7000"/>
    <s v="Young"/>
    <s v="Partically Recovered"/>
    <s v="Excellent"/>
    <s v="High Cost"/>
    <n v="1"/>
    <n v="2024"/>
    <s v="28-Jan-2024"/>
    <s v="ANANYA KUMAR"/>
    <n v="12"/>
    <s v="Ananya Kumar|Orthopedics"/>
  </r>
  <r>
    <s v="P011"/>
    <s v="Rahul Iyer"/>
    <x v="10"/>
    <x v="0"/>
    <s v="AB-"/>
    <x v="2"/>
    <x v="2"/>
    <s v="2024-02-01"/>
    <s v="2024-02-10"/>
    <x v="0"/>
    <n v="145000"/>
    <n v="100000"/>
    <s v="Yes"/>
    <s v="No"/>
    <n v="4.3"/>
    <n v="-45000"/>
    <n v="9"/>
    <n v="16111.111111111111"/>
    <s v="Senior"/>
    <s v="Partically Recovered"/>
    <s v="Good"/>
    <s v="High Cost"/>
    <n v="2"/>
    <n v="2024"/>
    <s v="01-Feb-2024"/>
    <s v="RAHUL IYER"/>
    <n v="10"/>
    <s v="Rahul Iyer|Neurology"/>
  </r>
  <r>
    <s v="P012"/>
    <s v="Pooja Mehta"/>
    <x v="11"/>
    <x v="1"/>
    <s v="A+"/>
    <x v="0"/>
    <x v="0"/>
    <s v="2024-02-03"/>
    <s v="2024-02-09"/>
    <x v="1"/>
    <n v="88000"/>
    <n v="65000"/>
    <s v="Yes"/>
    <s v="No"/>
    <n v="4.5"/>
    <n v="-23000"/>
    <n v="6"/>
    <n v="14666.666666666666"/>
    <s v="Middle"/>
    <s v="Partically Recovered"/>
    <s v="Excellent"/>
    <s v="High Cost"/>
    <n v="2"/>
    <n v="2024"/>
    <s v="03-Feb-2024"/>
    <s v="POOJA MEHTA"/>
    <n v="11"/>
    <s v="Pooja Mehta|Cardiology"/>
  </r>
  <r>
    <s v="P013"/>
    <s v="Nikhil Rao"/>
    <x v="12"/>
    <x v="0"/>
    <s v="B+"/>
    <x v="3"/>
    <x v="3"/>
    <s v="2024-02-05"/>
    <s v="2024-02-20"/>
    <x v="0"/>
    <n v="275000"/>
    <n v="200000"/>
    <s v="No"/>
    <s v="Yes"/>
    <n v="3.6"/>
    <n v="-75000"/>
    <n v="15"/>
    <n v="18333.333333333332"/>
    <s v="Senior"/>
    <s v="Not recovered"/>
    <s v="Average"/>
    <s v="High Cost"/>
    <n v="2"/>
    <n v="2024"/>
    <s v="05-Feb-2024"/>
    <s v="NIKHIL RAO"/>
    <n v="10"/>
    <s v="Nikhil Rao|Oncology"/>
  </r>
  <r>
    <s v="P014"/>
    <s v="Kavya Singh"/>
    <x v="13"/>
    <x v="1"/>
    <s v="O+"/>
    <x v="1"/>
    <x v="1"/>
    <s v="2024-02-08"/>
    <s v="2024-02-12"/>
    <x v="1"/>
    <n v="41000"/>
    <n v="28000"/>
    <s v="Yes"/>
    <s v="No"/>
    <n v="4.7"/>
    <n v="-13000"/>
    <n v="4"/>
    <n v="10250"/>
    <s v="Middle"/>
    <s v="Partically Recovered"/>
    <s v="Excellent"/>
    <s v="High Cost"/>
    <n v="2"/>
    <n v="2024"/>
    <s v="08-Feb-2024"/>
    <s v="KAVYA SINGH"/>
    <n v="11"/>
    <s v="Kavya Singh|Orthopedics"/>
  </r>
  <r>
    <s v="P015"/>
    <s v="Siddharth Das"/>
    <x v="14"/>
    <x v="0"/>
    <s v="A-"/>
    <x v="2"/>
    <x v="2"/>
    <s v="2024-02-10"/>
    <s v="2024-02-22"/>
    <x v="0"/>
    <n v="160000"/>
    <n v="120000"/>
    <s v="Yes"/>
    <s v="No"/>
    <n v="4"/>
    <n v="-40000"/>
    <n v="12"/>
    <n v="13333.333333333334"/>
    <s v="Early"/>
    <s v="Partically Recovered"/>
    <s v="Good"/>
    <s v="High Cost"/>
    <n v="2"/>
    <n v="2024"/>
    <s v="10-Feb-2024"/>
    <s v="SIDDHARTH DAS"/>
    <n v="13"/>
    <s v="Siddharth Das|Neurology"/>
  </r>
  <r>
    <s v="P016"/>
    <s v="Lakshmi Nair"/>
    <x v="15"/>
    <x v="1"/>
    <s v="B+"/>
    <x v="0"/>
    <x v="0"/>
    <s v="2024-02-12"/>
    <s v="2024-02-18"/>
    <x v="1"/>
    <n v="92000"/>
    <n v="68000"/>
    <s v="Yes"/>
    <s v="No"/>
    <n v="4.4000000000000004"/>
    <n v="-24000"/>
    <n v="6"/>
    <n v="15333.333333333334"/>
    <s v="Middle"/>
    <s v="Partically Recovered"/>
    <s v="Good"/>
    <s v="High Cost"/>
    <n v="2"/>
    <n v="2024"/>
    <s v="12-Feb-2024"/>
    <s v="LAKSHMI NAIR"/>
    <n v="12"/>
    <s v="Lakshmi Nair|Cardiology"/>
  </r>
  <r>
    <s v="P017"/>
    <s v="Aditya Patel"/>
    <x v="16"/>
    <x v="0"/>
    <s v="O+"/>
    <x v="1"/>
    <x v="1"/>
    <s v="2024-02-15"/>
    <s v="2024-02-19"/>
    <x v="1"/>
    <n v="33000"/>
    <n v="18000"/>
    <s v="Yes"/>
    <s v="No"/>
    <n v="3.9"/>
    <n v="-15000"/>
    <n v="4"/>
    <n v="8250"/>
    <s v="Young"/>
    <s v="Partically Recovered"/>
    <s v="Average"/>
    <s v="High Cost"/>
    <n v="2"/>
    <n v="2024"/>
    <s v="15-Feb-2024"/>
    <s v="ADITYA PATEL"/>
    <n v="12"/>
    <s v="Aditya Patel|Orthopedics"/>
  </r>
  <r>
    <s v="P018"/>
    <s v="Nisha Verma"/>
    <x v="17"/>
    <x v="1"/>
    <s v="AB+"/>
    <x v="3"/>
    <x v="3"/>
    <s v="2024-02-18"/>
    <s v="2024-03-05"/>
    <x v="0"/>
    <n v="290000"/>
    <n v="210000"/>
    <s v="No"/>
    <s v="Yes"/>
    <n v="3.4"/>
    <n v="-80000"/>
    <n v="16"/>
    <n v="18125"/>
    <s v="Senior"/>
    <s v="Not recovered"/>
    <s v="Poor"/>
    <s v="High Cost"/>
    <n v="2"/>
    <n v="2024"/>
    <s v="18-Feb-2024"/>
    <s v="NISHA VERMA"/>
    <n v="11"/>
    <s v="Nisha Verma|Oncology"/>
  </r>
  <r>
    <s v="P019"/>
    <s v="Rajesh Kumar"/>
    <x v="18"/>
    <x v="0"/>
    <s v="A+"/>
    <x v="0"/>
    <x v="0"/>
    <s v="2024-02-20"/>
    <s v="2024-03-02"/>
    <x v="0"/>
    <n v="185000"/>
    <n v="140000"/>
    <s v="Yes"/>
    <s v="No"/>
    <n v="4.5999999999999996"/>
    <n v="-45000"/>
    <n v="11"/>
    <n v="16818.18181818182"/>
    <s v="Early"/>
    <s v="Partically Recovered"/>
    <s v="Excellent"/>
    <s v="High Cost"/>
    <n v="2"/>
    <n v="2024"/>
    <s v="20-Feb-2024"/>
    <s v="RAJESH KUMAR"/>
    <n v="12"/>
    <s v="Rajesh Kumar|Cardiology"/>
  </r>
  <r>
    <s v="P020"/>
    <s v="Sunita Shah"/>
    <x v="19"/>
    <x v="1"/>
    <s v="B-"/>
    <x v="2"/>
    <x v="2"/>
    <s v="2024-02-22"/>
    <s v="2024-02-28"/>
    <x v="1"/>
    <n v="72000"/>
    <n v="50000"/>
    <s v="Yes"/>
    <s v="No"/>
    <n v="4.2"/>
    <n v="-22000"/>
    <n v="6"/>
    <n v="12000"/>
    <s v="Middle"/>
    <s v="Partically Recovered"/>
    <s v="Good"/>
    <s v="High Cost"/>
    <n v="2"/>
    <n v="2024"/>
    <s v="22-Feb-2024"/>
    <s v="SUNITA SHAH"/>
    <n v="11"/>
    <s v="Sunita Shah|Neurology"/>
  </r>
  <r>
    <s v="P021"/>
    <s v="Amit Sharma"/>
    <x v="20"/>
    <x v="0"/>
    <s v="O+"/>
    <x v="3"/>
    <x v="3"/>
    <s v="2024-03-01"/>
    <s v="2024-03-15"/>
    <x v="0"/>
    <n v="310000"/>
    <n v="230000"/>
    <s v="No"/>
    <s v="Yes"/>
    <n v="3.3"/>
    <n v="-80000"/>
    <n v="14"/>
    <n v="22142.857142857141"/>
    <s v="Middle"/>
    <s v="Not recovered"/>
    <s v="Poor"/>
    <s v="High Cost"/>
    <n v="3"/>
    <n v="2024"/>
    <s v="01-Mar-2024"/>
    <s v="AMIT SHARMA"/>
    <n v="11"/>
    <s v="Amit Sharma|Oncology"/>
  </r>
  <r>
    <s v="P022"/>
    <s v="Deepa Rao"/>
    <x v="21"/>
    <x v="1"/>
    <s v="A+"/>
    <x v="1"/>
    <x v="1"/>
    <s v="2024-03-03"/>
    <s v="2024-03-07"/>
    <x v="1"/>
    <n v="39000"/>
    <n v="26000"/>
    <s v="Yes"/>
    <s v="No"/>
    <n v="4.8"/>
    <n v="-13000"/>
    <n v="4"/>
    <n v="9750"/>
    <s v="Middle"/>
    <s v="Partically Recovered"/>
    <s v="Excellent"/>
    <s v="High Cost"/>
    <n v="3"/>
    <n v="2024"/>
    <s v="03-Mar-2024"/>
    <s v="DEEPA RAO"/>
    <n v="9"/>
    <s v="Deepa Rao|Orthopedics"/>
  </r>
  <r>
    <s v="P023"/>
    <s v="Suresh Iyer"/>
    <x v="22"/>
    <x v="0"/>
    <s v="B+"/>
    <x v="0"/>
    <x v="0"/>
    <s v="2024-03-05"/>
    <s v="2024-03-14"/>
    <x v="0"/>
    <n v="195000"/>
    <n v="145000"/>
    <s v="Yes"/>
    <s v="No"/>
    <n v="4.0999999999999996"/>
    <n v="-50000"/>
    <n v="9"/>
    <n v="21666.666666666668"/>
    <s v="Senior"/>
    <s v="Partically Recovered"/>
    <s v="Good"/>
    <s v="High Cost"/>
    <n v="3"/>
    <n v="2024"/>
    <s v="05-Mar-2024"/>
    <s v="SURESH IYER"/>
    <n v="11"/>
    <s v="Suresh Iyer|Cardiology"/>
  </r>
  <r>
    <s v="P024"/>
    <s v="Rekha Pillai"/>
    <x v="23"/>
    <x v="1"/>
    <s v="O-"/>
    <x v="2"/>
    <x v="2"/>
    <s v="2024-03-08"/>
    <s v="2024-03-16"/>
    <x v="1"/>
    <n v="98000"/>
    <n v="72000"/>
    <s v="Yes"/>
    <s v="No"/>
    <n v="4.5"/>
    <n v="-26000"/>
    <n v="8"/>
    <n v="12250"/>
    <s v="Middle"/>
    <s v="Partically Recovered"/>
    <s v="Excellent"/>
    <s v="High Cost"/>
    <n v="3"/>
    <n v="2024"/>
    <s v="08-Mar-2024"/>
    <s v="REKHA PILLAI"/>
    <n v="12"/>
    <s v="Rekha Pillai|Neurology"/>
  </r>
  <r>
    <s v="P025"/>
    <s v="Vijay Das"/>
    <x v="2"/>
    <x v="0"/>
    <s v="AB+"/>
    <x v="3"/>
    <x v="3"/>
    <s v="2024-03-10"/>
    <s v="2024-03-25"/>
    <x v="0"/>
    <n v="340000"/>
    <n v="255000"/>
    <s v="No"/>
    <s v="Yes"/>
    <n v="3.7"/>
    <n v="-85000"/>
    <n v="15"/>
    <n v="22666.666666666668"/>
    <s v="Senior"/>
    <s v="Not recovered"/>
    <s v="Average"/>
    <s v="High Cost"/>
    <n v="3"/>
    <n v="2024"/>
    <s v="10-Mar-2024"/>
    <s v="VIJAY DAS"/>
    <n v="9"/>
    <s v="Vijay Das|Oncolog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66184-BB19-4066-BE13-9F4C4B869E8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28"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showAll="0"/>
  </pivotFields>
  <rowItems count="1">
    <i/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TreatmentCos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678A0-E769-4D2F-A1BD-F07C44082D6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1" firstDataRow="2" firstDataCol="1"/>
  <pivotFields count="28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35C5F-0580-43B5-916E-3B09DD2F4682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ing" fld="14" subtotal="average" baseField="0" baseItem="0"/>
  </dataFields>
  <formats count="1">
    <format dxfId="1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87FAD-74DE-46BD-8B43-4C2FA408678F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9" firstHeaderRow="1" firstDataRow="2" firstDataCol="1"/>
  <pivotFields count="28">
    <pivotField showAll="0"/>
    <pivotField showAll="0"/>
    <pivotField axis="axisRow" showAll="0">
      <items count="25">
        <item x="9"/>
        <item x="1"/>
        <item x="16"/>
        <item x="5"/>
        <item x="21"/>
        <item x="0"/>
        <item x="13"/>
        <item x="19"/>
        <item x="7"/>
        <item x="11"/>
        <item x="15"/>
        <item x="3"/>
        <item x="20"/>
        <item x="6"/>
        <item x="23"/>
        <item x="17"/>
        <item x="10"/>
        <item x="2"/>
        <item x="12"/>
        <item x="22"/>
        <item x="4"/>
        <item x="14"/>
        <item x="8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OutOfPocke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89B3-9ED4-4C9E-AFF9-90472324C82A}">
  <dimension ref="A3:F5"/>
  <sheetViews>
    <sheetView workbookViewId="0">
      <selection activeCell="C23" sqref="C23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9.77734375" bestFit="1" customWidth="1"/>
    <col min="4" max="4" width="9" bestFit="1" customWidth="1"/>
    <col min="5" max="5" width="11.21875" bestFit="1" customWidth="1"/>
    <col min="6" max="6" width="10.77734375" bestFit="1" customWidth="1"/>
  </cols>
  <sheetData>
    <row r="3" spans="1:6" x14ac:dyDescent="0.3">
      <c r="B3" s="40" t="s">
        <v>220</v>
      </c>
    </row>
    <row r="4" spans="1:6" x14ac:dyDescent="0.3">
      <c r="B4" t="s">
        <v>19</v>
      </c>
      <c r="C4" t="s">
        <v>38</v>
      </c>
      <c r="D4" t="s">
        <v>49</v>
      </c>
      <c r="E4" t="s">
        <v>30</v>
      </c>
      <c r="F4" t="s">
        <v>221</v>
      </c>
    </row>
    <row r="5" spans="1:6" x14ac:dyDescent="0.3">
      <c r="A5" t="s">
        <v>205</v>
      </c>
      <c r="B5" s="41">
        <v>818000</v>
      </c>
      <c r="C5" s="41">
        <v>705000</v>
      </c>
      <c r="D5" s="41">
        <v>1785000</v>
      </c>
      <c r="E5" s="41">
        <v>228000</v>
      </c>
      <c r="F5" s="41">
        <v>3536000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AC81-E56E-4476-BCCC-DCEC9890ED04}">
  <dimension ref="A3:F7"/>
  <sheetViews>
    <sheetView workbookViewId="0">
      <selection activeCell="E11" sqref="E11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9.77734375" bestFit="1" customWidth="1"/>
    <col min="4" max="4" width="9" bestFit="1" customWidth="1"/>
    <col min="5" max="5" width="11.21875" bestFit="1" customWidth="1"/>
    <col min="6" max="6" width="10.77734375" bestFit="1" customWidth="1"/>
    <col min="7" max="7" width="14.5546875" bestFit="1" customWidth="1"/>
    <col min="8" max="8" width="11" bestFit="1" customWidth="1"/>
    <col min="9" max="9" width="5.21875" bestFit="1" customWidth="1"/>
    <col min="10" max="10" width="13.77734375" bestFit="1" customWidth="1"/>
    <col min="11" max="11" width="13.21875" bestFit="1" customWidth="1"/>
    <col min="12" max="12" width="5.21875" bestFit="1" customWidth="1"/>
    <col min="13" max="13" width="16" bestFit="1" customWidth="1"/>
    <col min="14" max="14" width="10.77734375" bestFit="1" customWidth="1"/>
  </cols>
  <sheetData>
    <row r="3" spans="1:6" x14ac:dyDescent="0.3">
      <c r="A3" s="40" t="s">
        <v>222</v>
      </c>
      <c r="B3" s="40" t="s">
        <v>220</v>
      </c>
    </row>
    <row r="4" spans="1:6" x14ac:dyDescent="0.3">
      <c r="A4" s="40" t="s">
        <v>223</v>
      </c>
      <c r="B4" t="s">
        <v>19</v>
      </c>
      <c r="C4" t="s">
        <v>38</v>
      </c>
      <c r="D4" t="s">
        <v>49</v>
      </c>
      <c r="E4" t="s">
        <v>30</v>
      </c>
      <c r="F4" t="s">
        <v>221</v>
      </c>
    </row>
    <row r="5" spans="1:6" x14ac:dyDescent="0.3">
      <c r="A5" s="42" t="s">
        <v>28</v>
      </c>
      <c r="B5" s="41">
        <v>4</v>
      </c>
      <c r="C5" s="41">
        <v>2</v>
      </c>
      <c r="D5" s="41">
        <v>1</v>
      </c>
      <c r="E5" s="41">
        <v>5</v>
      </c>
      <c r="F5" s="41">
        <v>12</v>
      </c>
    </row>
    <row r="6" spans="1:6" x14ac:dyDescent="0.3">
      <c r="A6" s="42" t="s">
        <v>17</v>
      </c>
      <c r="B6" s="41">
        <v>3</v>
      </c>
      <c r="C6" s="41">
        <v>4</v>
      </c>
      <c r="D6" s="41">
        <v>5</v>
      </c>
      <c r="E6" s="41">
        <v>1</v>
      </c>
      <c r="F6" s="41">
        <v>13</v>
      </c>
    </row>
    <row r="7" spans="1:6" x14ac:dyDescent="0.3">
      <c r="A7" s="42" t="s">
        <v>221</v>
      </c>
      <c r="B7" s="41">
        <v>7</v>
      </c>
      <c r="C7" s="41">
        <v>6</v>
      </c>
      <c r="D7" s="41">
        <v>6</v>
      </c>
      <c r="E7" s="41">
        <v>6</v>
      </c>
      <c r="F7" s="4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4321-2CB6-422B-900C-7522853E5DC5}">
  <dimension ref="A3:B8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6" bestFit="1" customWidth="1"/>
    <col min="3" max="5" width="12" bestFit="1" customWidth="1"/>
    <col min="6" max="6" width="10.77734375" bestFit="1" customWidth="1"/>
  </cols>
  <sheetData>
    <row r="3" spans="1:2" x14ac:dyDescent="0.3">
      <c r="A3" s="40" t="s">
        <v>223</v>
      </c>
      <c r="B3" t="s">
        <v>224</v>
      </c>
    </row>
    <row r="4" spans="1:2" x14ac:dyDescent="0.3">
      <c r="A4" s="42" t="s">
        <v>50</v>
      </c>
      <c r="B4" s="25">
        <v>3.4499999999999997</v>
      </c>
    </row>
    <row r="5" spans="1:2" x14ac:dyDescent="0.3">
      <c r="A5" s="42" t="s">
        <v>20</v>
      </c>
      <c r="B5" s="25">
        <v>4.4857142857142858</v>
      </c>
    </row>
    <row r="6" spans="1:2" x14ac:dyDescent="0.3">
      <c r="A6" s="42" t="s">
        <v>31</v>
      </c>
      <c r="B6" s="25">
        <v>4.4833333333333334</v>
      </c>
    </row>
    <row r="7" spans="1:2" x14ac:dyDescent="0.3">
      <c r="A7" s="42" t="s">
        <v>39</v>
      </c>
      <c r="B7" s="25">
        <v>4.2166666666666668</v>
      </c>
    </row>
    <row r="8" spans="1:2" x14ac:dyDescent="0.3">
      <c r="A8" s="42" t="s">
        <v>221</v>
      </c>
      <c r="B8" s="41">
        <v>4.1719999999999997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B748-2467-4208-9DB6-739B14C3DFC7}">
  <dimension ref="A3:D29"/>
  <sheetViews>
    <sheetView workbookViewId="0">
      <selection activeCell="A3" sqref="A3"/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7.6640625" bestFit="1" customWidth="1"/>
    <col min="4" max="4" width="10.77734375" bestFit="1" customWidth="1"/>
    <col min="5" max="5" width="7.6640625" bestFit="1" customWidth="1"/>
    <col min="6" max="6" width="6.6640625" bestFit="1" customWidth="1"/>
    <col min="7" max="7" width="7.6640625" bestFit="1" customWidth="1"/>
    <col min="8" max="8" width="6.6640625" bestFit="1" customWidth="1"/>
    <col min="9" max="9" width="7.6640625" bestFit="1" customWidth="1"/>
    <col min="10" max="10" width="6.6640625" bestFit="1" customWidth="1"/>
    <col min="11" max="11" width="7.6640625" bestFit="1" customWidth="1"/>
    <col min="12" max="12" width="7.44140625" bestFit="1" customWidth="1"/>
    <col min="13" max="13" width="7.6640625" bestFit="1" customWidth="1"/>
    <col min="14" max="14" width="6.6640625" bestFit="1" customWidth="1"/>
    <col min="15" max="15" width="7.6640625" bestFit="1" customWidth="1"/>
    <col min="16" max="16" width="6.6640625" bestFit="1" customWidth="1"/>
    <col min="17" max="17" width="7.6640625" bestFit="1" customWidth="1"/>
    <col min="18" max="18" width="6.6640625" bestFit="1" customWidth="1"/>
    <col min="19" max="19" width="7.6640625" bestFit="1" customWidth="1"/>
    <col min="20" max="20" width="6.6640625" bestFit="1" customWidth="1"/>
    <col min="21" max="21" width="7.6640625" bestFit="1" customWidth="1"/>
    <col min="22" max="22" width="6.6640625" bestFit="1" customWidth="1"/>
    <col min="23" max="23" width="7.6640625" bestFit="1" customWidth="1"/>
    <col min="24" max="24" width="6.6640625" bestFit="1" customWidth="1"/>
    <col min="25" max="25" width="7.6640625" bestFit="1" customWidth="1"/>
    <col min="26" max="26" width="7.44140625" bestFit="1" customWidth="1"/>
    <col min="27" max="27" width="7.6640625" bestFit="1" customWidth="1"/>
    <col min="28" max="28" width="7.44140625" bestFit="1" customWidth="1"/>
    <col min="29" max="29" width="7.6640625" bestFit="1" customWidth="1"/>
    <col min="30" max="30" width="6.6640625" bestFit="1" customWidth="1"/>
    <col min="31" max="31" width="7.6640625" bestFit="1" customWidth="1"/>
    <col min="32" max="32" width="7.44140625" bestFit="1" customWidth="1"/>
    <col min="33" max="33" width="7.6640625" bestFit="1" customWidth="1"/>
    <col min="34" max="34" width="7.44140625" bestFit="1" customWidth="1"/>
    <col min="35" max="37" width="7.6640625" bestFit="1" customWidth="1"/>
    <col min="38" max="38" width="7.44140625" bestFit="1" customWidth="1"/>
    <col min="39" max="39" width="7.6640625" bestFit="1" customWidth="1"/>
    <col min="40" max="40" width="7.44140625" bestFit="1" customWidth="1"/>
    <col min="41" max="41" width="7.6640625" bestFit="1" customWidth="1"/>
    <col min="42" max="42" width="7.44140625" bestFit="1" customWidth="1"/>
    <col min="43" max="43" width="7.6640625" bestFit="1" customWidth="1"/>
    <col min="44" max="44" width="7.44140625" bestFit="1" customWidth="1"/>
    <col min="45" max="45" width="7.6640625" bestFit="1" customWidth="1"/>
    <col min="46" max="46" width="7.44140625" bestFit="1" customWidth="1"/>
    <col min="47" max="47" width="7.6640625" bestFit="1" customWidth="1"/>
    <col min="48" max="48" width="7.44140625" bestFit="1" customWidth="1"/>
    <col min="49" max="49" width="7.6640625" bestFit="1" customWidth="1"/>
    <col min="50" max="50" width="10.77734375" bestFit="1" customWidth="1"/>
  </cols>
  <sheetData>
    <row r="3" spans="1:4" x14ac:dyDescent="0.3">
      <c r="A3" s="40" t="s">
        <v>225</v>
      </c>
      <c r="B3" s="40" t="s">
        <v>220</v>
      </c>
    </row>
    <row r="4" spans="1:4" x14ac:dyDescent="0.3">
      <c r="A4" s="40" t="s">
        <v>223</v>
      </c>
      <c r="B4" t="s">
        <v>34</v>
      </c>
      <c r="C4" t="s">
        <v>23</v>
      </c>
      <c r="D4" t="s">
        <v>221</v>
      </c>
    </row>
    <row r="5" spans="1:4" x14ac:dyDescent="0.3">
      <c r="A5" s="42">
        <v>26</v>
      </c>
      <c r="B5" s="41">
        <v>-15000</v>
      </c>
      <c r="C5" s="41"/>
      <c r="D5" s="41">
        <v>-15000</v>
      </c>
    </row>
    <row r="6" spans="1:4" x14ac:dyDescent="0.3">
      <c r="A6" s="42">
        <v>28</v>
      </c>
      <c r="B6" s="41">
        <v>-12000</v>
      </c>
      <c r="C6" s="41"/>
      <c r="D6" s="41">
        <v>-12000</v>
      </c>
    </row>
    <row r="7" spans="1:4" x14ac:dyDescent="0.3">
      <c r="A7" s="42">
        <v>29</v>
      </c>
      <c r="B7" s="41">
        <v>-15000</v>
      </c>
      <c r="C7" s="41"/>
      <c r="D7" s="41">
        <v>-15000</v>
      </c>
    </row>
    <row r="8" spans="1:4" x14ac:dyDescent="0.3">
      <c r="A8" s="42">
        <v>31</v>
      </c>
      <c r="B8" s="41">
        <v>-13000</v>
      </c>
      <c r="C8" s="41"/>
      <c r="D8" s="41">
        <v>-13000</v>
      </c>
    </row>
    <row r="9" spans="1:4" x14ac:dyDescent="0.3">
      <c r="A9" s="42">
        <v>33</v>
      </c>
      <c r="B9" s="41">
        <v>-13000</v>
      </c>
      <c r="C9" s="41"/>
      <c r="D9" s="41">
        <v>-13000</v>
      </c>
    </row>
    <row r="10" spans="1:4" x14ac:dyDescent="0.3">
      <c r="A10" s="42">
        <v>34</v>
      </c>
      <c r="B10" s="41"/>
      <c r="C10" s="41">
        <v>-25000</v>
      </c>
      <c r="D10" s="41">
        <v>-25000</v>
      </c>
    </row>
    <row r="11" spans="1:4" x14ac:dyDescent="0.3">
      <c r="A11" s="42">
        <v>35</v>
      </c>
      <c r="B11" s="41">
        <v>-13000</v>
      </c>
      <c r="C11" s="41"/>
      <c r="D11" s="41">
        <v>-13000</v>
      </c>
    </row>
    <row r="12" spans="1:4" x14ac:dyDescent="0.3">
      <c r="A12" s="42">
        <v>38</v>
      </c>
      <c r="B12" s="41">
        <v>-22000</v>
      </c>
      <c r="C12" s="41"/>
      <c r="D12" s="41">
        <v>-22000</v>
      </c>
    </row>
    <row r="13" spans="1:4" x14ac:dyDescent="0.3">
      <c r="A13" s="42">
        <v>39</v>
      </c>
      <c r="B13" s="41">
        <v>-23000</v>
      </c>
      <c r="C13" s="41"/>
      <c r="D13" s="41">
        <v>-23000</v>
      </c>
    </row>
    <row r="14" spans="1:4" x14ac:dyDescent="0.3">
      <c r="A14" s="42">
        <v>42</v>
      </c>
      <c r="B14" s="41">
        <v>-23000</v>
      </c>
      <c r="C14" s="41"/>
      <c r="D14" s="41">
        <v>-23000</v>
      </c>
    </row>
    <row r="15" spans="1:4" x14ac:dyDescent="0.3">
      <c r="A15" s="42">
        <v>44</v>
      </c>
      <c r="B15" s="41">
        <v>-24000</v>
      </c>
      <c r="C15" s="41"/>
      <c r="D15" s="41">
        <v>-24000</v>
      </c>
    </row>
    <row r="16" spans="1:4" x14ac:dyDescent="0.3">
      <c r="A16" s="42">
        <v>45</v>
      </c>
      <c r="B16" s="41">
        <v>-25000</v>
      </c>
      <c r="C16" s="41"/>
      <c r="D16" s="41">
        <v>-25000</v>
      </c>
    </row>
    <row r="17" spans="1:4" x14ac:dyDescent="0.3">
      <c r="A17" s="42">
        <v>46</v>
      </c>
      <c r="B17" s="41"/>
      <c r="C17" s="41">
        <v>-80000</v>
      </c>
      <c r="D17" s="41">
        <v>-80000</v>
      </c>
    </row>
    <row r="18" spans="1:4" x14ac:dyDescent="0.3">
      <c r="A18" s="42">
        <v>48</v>
      </c>
      <c r="B18" s="41"/>
      <c r="C18" s="41">
        <v>-30000</v>
      </c>
      <c r="D18" s="41">
        <v>-30000</v>
      </c>
    </row>
    <row r="19" spans="1:4" x14ac:dyDescent="0.3">
      <c r="A19" s="42">
        <v>49</v>
      </c>
      <c r="B19" s="41">
        <v>-26000</v>
      </c>
      <c r="C19" s="41"/>
      <c r="D19" s="41">
        <v>-26000</v>
      </c>
    </row>
    <row r="20" spans="1:4" x14ac:dyDescent="0.3">
      <c r="A20" s="42">
        <v>51</v>
      </c>
      <c r="B20" s="41"/>
      <c r="C20" s="41">
        <v>-80000</v>
      </c>
      <c r="D20" s="41">
        <v>-80000</v>
      </c>
    </row>
    <row r="21" spans="1:4" x14ac:dyDescent="0.3">
      <c r="A21" s="42">
        <v>53</v>
      </c>
      <c r="B21" s="41"/>
      <c r="C21" s="41">
        <v>-45000</v>
      </c>
      <c r="D21" s="41">
        <v>-45000</v>
      </c>
    </row>
    <row r="22" spans="1:4" x14ac:dyDescent="0.3">
      <c r="A22" s="42">
        <v>55</v>
      </c>
      <c r="B22" s="41"/>
      <c r="C22" s="41">
        <v>-115000</v>
      </c>
      <c r="D22" s="41">
        <v>-115000</v>
      </c>
    </row>
    <row r="23" spans="1:4" x14ac:dyDescent="0.3">
      <c r="A23" s="42">
        <v>58</v>
      </c>
      <c r="B23" s="41"/>
      <c r="C23" s="41">
        <v>-75000</v>
      </c>
      <c r="D23" s="41">
        <v>-75000</v>
      </c>
    </row>
    <row r="24" spans="1:4" x14ac:dyDescent="0.3">
      <c r="A24" s="42">
        <v>61</v>
      </c>
      <c r="B24" s="41"/>
      <c r="C24" s="41">
        <v>-50000</v>
      </c>
      <c r="D24" s="41">
        <v>-50000</v>
      </c>
    </row>
    <row r="25" spans="1:4" x14ac:dyDescent="0.3">
      <c r="A25" s="42">
        <v>62</v>
      </c>
      <c r="B25" s="41"/>
      <c r="C25" s="41">
        <v>-70000</v>
      </c>
      <c r="D25" s="41">
        <v>-70000</v>
      </c>
    </row>
    <row r="26" spans="1:4" x14ac:dyDescent="0.3">
      <c r="A26" s="42">
        <v>67</v>
      </c>
      <c r="B26" s="41"/>
      <c r="C26" s="41">
        <v>-40000</v>
      </c>
      <c r="D26" s="41">
        <v>-40000</v>
      </c>
    </row>
    <row r="27" spans="1:4" x14ac:dyDescent="0.3">
      <c r="A27" s="42">
        <v>70</v>
      </c>
      <c r="B27" s="41"/>
      <c r="C27" s="41">
        <v>-80000</v>
      </c>
      <c r="D27" s="41">
        <v>-80000</v>
      </c>
    </row>
    <row r="28" spans="1:4" x14ac:dyDescent="0.3">
      <c r="A28" s="42">
        <v>73</v>
      </c>
      <c r="B28" s="41"/>
      <c r="C28" s="41">
        <v>-45000</v>
      </c>
      <c r="D28" s="41">
        <v>-45000</v>
      </c>
    </row>
    <row r="29" spans="1:4" x14ac:dyDescent="0.3">
      <c r="A29" s="42" t="s">
        <v>221</v>
      </c>
      <c r="B29" s="41">
        <v>-224000</v>
      </c>
      <c r="C29" s="41">
        <v>-735000</v>
      </c>
      <c r="D29" s="41">
        <v>-959000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2"/>
  <sheetViews>
    <sheetView tabSelected="1" workbookViewId="0">
      <pane ySplit="1" topLeftCell="A2" activePane="bottomLeft" state="frozen"/>
      <selection pane="bottomLeft" activeCell="F28" sqref="F28"/>
    </sheetView>
  </sheetViews>
  <sheetFormatPr defaultRowHeight="14.4" x14ac:dyDescent="0.3"/>
  <cols>
    <col min="1" max="1" width="10.88671875" customWidth="1"/>
    <col min="2" max="2" width="16" customWidth="1"/>
    <col min="3" max="3" width="6" customWidth="1"/>
    <col min="4" max="4" width="19.21875" customWidth="1"/>
    <col min="5" max="5" width="20.109375" bestFit="1" customWidth="1"/>
    <col min="6" max="6" width="23.88671875" customWidth="1"/>
    <col min="7" max="7" width="24.88671875" customWidth="1"/>
    <col min="8" max="8" width="30.44140625" bestFit="1" customWidth="1"/>
    <col min="9" max="9" width="18.77734375" customWidth="1"/>
    <col min="10" max="10" width="19" customWidth="1"/>
    <col min="11" max="11" width="23.6640625" customWidth="1"/>
    <col min="12" max="12" width="22.21875" customWidth="1"/>
    <col min="13" max="13" width="13.33203125" customWidth="1"/>
    <col min="14" max="14" width="15.33203125" customWidth="1"/>
    <col min="15" max="15" width="11.6640625" bestFit="1" customWidth="1"/>
    <col min="16" max="16" width="16.5546875" customWidth="1"/>
    <col min="17" max="17" width="15.5546875" customWidth="1"/>
    <col min="18" max="18" width="12.5546875" bestFit="1" customWidth="1"/>
    <col min="19" max="19" width="13.33203125" customWidth="1"/>
    <col min="20" max="20" width="23.88671875" customWidth="1"/>
    <col min="21" max="21" width="22.109375" customWidth="1"/>
    <col min="22" max="22" width="31.88671875" customWidth="1"/>
    <col min="25" max="25" width="11.33203125" bestFit="1" customWidth="1"/>
    <col min="26" max="26" width="19.109375" customWidth="1"/>
    <col min="27" max="27" width="11.44140625" bestFit="1" customWidth="1"/>
    <col min="28" max="28" width="23.77734375" bestFit="1" customWidth="1"/>
  </cols>
  <sheetData>
    <row r="1" spans="1:2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214</v>
      </c>
      <c r="X1" s="1" t="s">
        <v>215</v>
      </c>
      <c r="Y1" s="1" t="s">
        <v>216</v>
      </c>
      <c r="Z1" s="1" t="s">
        <v>217</v>
      </c>
      <c r="AA1" s="1" t="s">
        <v>218</v>
      </c>
      <c r="AB1" s="1" t="s">
        <v>219</v>
      </c>
    </row>
    <row r="2" spans="1:28" x14ac:dyDescent="0.3">
      <c r="A2" s="2" t="s">
        <v>15</v>
      </c>
      <c r="B2" s="2" t="s">
        <v>16</v>
      </c>
      <c r="C2" s="2">
        <v>34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85000</v>
      </c>
      <c r="L2" s="2">
        <v>60000</v>
      </c>
      <c r="M2" s="2" t="s">
        <v>24</v>
      </c>
      <c r="N2" s="2" t="s">
        <v>25</v>
      </c>
      <c r="O2" s="2">
        <v>4.5</v>
      </c>
      <c r="P2" s="2">
        <f>L2-K2</f>
        <v>-25000</v>
      </c>
      <c r="Q2" s="2">
        <f>I2-H2</f>
        <v>7</v>
      </c>
      <c r="R2" s="11">
        <f>K2/Q2</f>
        <v>12142.857142857143</v>
      </c>
      <c r="S2" s="11" t="str">
        <f>IF(C2&lt;30,"Young",IF(C2&lt;50,"Middle",IF(C2&lt;65,"Senior","Early")))</f>
        <v>Middle</v>
      </c>
      <c r="T2" s="11" t="str">
        <f>IF(AND(M2="Yes",M2="No"),"Full Recovered",IF(AND(M2="Yes",M2="Yes"),"Partically Recovered","Not recovered"))</f>
        <v>Partically Recovered</v>
      </c>
      <c r="U2" s="11" t="str">
        <f>IF(O2&gt;=4.5,"Excellent",IF(O2&gt;=4,"Good",IF(O2&gt;=3.5,"Average","Poor")))</f>
        <v>Excellent</v>
      </c>
      <c r="V2" s="11" t="str">
        <f>IF(K2&gt;20000,"High Cost",IF(K2&gt;10000,"Medium Cost","Low Cost"))</f>
        <v>High Cost</v>
      </c>
      <c r="W2" s="11">
        <f>MONTH(H2)</f>
        <v>1</v>
      </c>
      <c r="X2" s="11">
        <f>YEAR(H2)</f>
        <v>2024</v>
      </c>
      <c r="Y2" s="11" t="str">
        <f>TEXT(H2,"DD-MMM-YYYY")</f>
        <v>05-Jan-2024</v>
      </c>
      <c r="Z2" s="11" t="str">
        <f>UPPER(B2)</f>
        <v>AARAV SHARMA</v>
      </c>
      <c r="AA2" s="11">
        <f>LEN(Z2)</f>
        <v>12</v>
      </c>
      <c r="AB2" s="11" t="str">
        <f>_xlfn.TEXTJOIN("|",TRUE,B2,F2)</f>
        <v>Aarav Sharma|Cardiology</v>
      </c>
    </row>
    <row r="3" spans="1:28" x14ac:dyDescent="0.3">
      <c r="A3" s="3" t="s">
        <v>26</v>
      </c>
      <c r="B3" s="3" t="s">
        <v>27</v>
      </c>
      <c r="C3" s="3">
        <v>28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>
        <v>42000</v>
      </c>
      <c r="L3" s="3">
        <v>30000</v>
      </c>
      <c r="M3" s="3" t="s">
        <v>24</v>
      </c>
      <c r="N3" s="39" t="s">
        <v>25</v>
      </c>
      <c r="O3" s="3">
        <v>3.8</v>
      </c>
      <c r="P3" s="2">
        <f t="shared" ref="P3:P26" si="0">L3-K3</f>
        <v>-12000</v>
      </c>
      <c r="Q3" s="2">
        <f t="shared" ref="Q3:R26" si="1">I3-H3</f>
        <v>7</v>
      </c>
      <c r="R3" s="11">
        <f t="shared" ref="R3:S26" si="2">K3/Q3</f>
        <v>6000</v>
      </c>
      <c r="S3" s="11" t="str">
        <f t="shared" ref="S3:T26" si="3">IF(C3&lt;30,"Young",IF(C3&lt;50,"Middle",IF(C3&lt;65,"Senior","Early")))</f>
        <v>Young</v>
      </c>
      <c r="T3" s="11" t="str">
        <f t="shared" ref="T3:U26" si="4">IF(AND(M3="Yes",M3="No"),"Full Recovered",IF(AND(M3="Yes",M3="Yes"),"Partically Recovered","Not recovered"))</f>
        <v>Partically Recovered</v>
      </c>
      <c r="U3" s="11" t="str">
        <f t="shared" ref="U3:V26" si="5">IF(O3&gt;=4.5,"Excellent",IF(O3&gt;=4,"Good",IF(O3&gt;=3.5,"Average","Poor")))</f>
        <v>Average</v>
      </c>
      <c r="V3" s="11" t="str">
        <f t="shared" ref="V3:W26" si="6">IF(K3&gt;20000,"High Cost",IF(K3&gt;10000,"Medium Cost","Low Cost"))</f>
        <v>High Cost</v>
      </c>
      <c r="W3" s="11">
        <f t="shared" ref="W3:X26" si="7">MONTH(H3)</f>
        <v>1</v>
      </c>
      <c r="X3" s="11">
        <f t="shared" ref="X3:Y26" si="8">YEAR(H3)</f>
        <v>2024</v>
      </c>
      <c r="Y3" s="11" t="str">
        <f t="shared" ref="Y3:Z26" si="9">TEXT(H3,"DD-MMM-YYYY")</f>
        <v>08-Jan-2024</v>
      </c>
      <c r="Z3" s="11" t="str">
        <f t="shared" ref="Z3:AA26" si="10">UPPER(B3)</f>
        <v>PRIYA NAIR</v>
      </c>
      <c r="AA3" s="11">
        <f t="shared" ref="AA3:AB26" si="11">LEN(Z3)</f>
        <v>10</v>
      </c>
      <c r="AB3" s="11" t="str">
        <f t="shared" ref="AB3:AB26" si="12">_xlfn.TEXTJOIN("|",TRUE,B3,F3)</f>
        <v>Priya Nair|Orthopedics</v>
      </c>
    </row>
    <row r="4" spans="1:28" x14ac:dyDescent="0.3">
      <c r="A4" s="2" t="s">
        <v>35</v>
      </c>
      <c r="B4" s="2" t="s">
        <v>36</v>
      </c>
      <c r="C4" s="2">
        <v>55</v>
      </c>
      <c r="D4" s="2" t="s">
        <v>17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23</v>
      </c>
      <c r="K4" s="2">
        <v>120000</v>
      </c>
      <c r="L4" s="2">
        <v>90000</v>
      </c>
      <c r="M4" s="2" t="s">
        <v>25</v>
      </c>
      <c r="N4" s="2" t="s">
        <v>24</v>
      </c>
      <c r="O4" s="2">
        <v>4.2</v>
      </c>
      <c r="P4" s="2">
        <f t="shared" si="0"/>
        <v>-30000</v>
      </c>
      <c r="Q4" s="2">
        <f t="shared" si="1"/>
        <v>10</v>
      </c>
      <c r="R4" s="11">
        <f t="shared" si="2"/>
        <v>12000</v>
      </c>
      <c r="S4" s="11" t="str">
        <f t="shared" si="3"/>
        <v>Senior</v>
      </c>
      <c r="T4" s="11" t="str">
        <f t="shared" si="4"/>
        <v>Not recovered</v>
      </c>
      <c r="U4" s="11" t="str">
        <f t="shared" si="5"/>
        <v>Good</v>
      </c>
      <c r="V4" s="11" t="str">
        <f t="shared" si="6"/>
        <v>High Cost</v>
      </c>
      <c r="W4" s="11">
        <f t="shared" si="7"/>
        <v>1</v>
      </c>
      <c r="X4" s="11">
        <f t="shared" si="8"/>
        <v>2024</v>
      </c>
      <c r="Y4" s="11" t="str">
        <f t="shared" si="9"/>
        <v>10-Jan-2024</v>
      </c>
      <c r="Z4" s="11" t="str">
        <f t="shared" si="10"/>
        <v>ROHIT VERMA</v>
      </c>
      <c r="AA4" s="11">
        <f t="shared" si="11"/>
        <v>11</v>
      </c>
      <c r="AB4" s="11" t="str">
        <f t="shared" si="12"/>
        <v>Rohit Verma|Neurology</v>
      </c>
    </row>
    <row r="5" spans="1:28" x14ac:dyDescent="0.3">
      <c r="A5" s="3" t="s">
        <v>42</v>
      </c>
      <c r="B5" s="3" t="s">
        <v>43</v>
      </c>
      <c r="C5" s="3">
        <v>45</v>
      </c>
      <c r="D5" s="3" t="s">
        <v>28</v>
      </c>
      <c r="E5" s="3" t="s">
        <v>44</v>
      </c>
      <c r="F5" s="3" t="s">
        <v>19</v>
      </c>
      <c r="G5" s="3" t="s">
        <v>20</v>
      </c>
      <c r="H5" s="3" t="s">
        <v>22</v>
      </c>
      <c r="I5" s="3" t="s">
        <v>45</v>
      </c>
      <c r="J5" s="3" t="s">
        <v>34</v>
      </c>
      <c r="K5" s="3">
        <v>95000</v>
      </c>
      <c r="L5" s="3">
        <v>70000</v>
      </c>
      <c r="M5" s="3" t="s">
        <v>24</v>
      </c>
      <c r="N5" s="3" t="s">
        <v>25</v>
      </c>
      <c r="O5" s="3">
        <v>4.7</v>
      </c>
      <c r="P5" s="2">
        <f t="shared" si="0"/>
        <v>-25000</v>
      </c>
      <c r="Q5" s="2">
        <f t="shared" si="1"/>
        <v>6</v>
      </c>
      <c r="R5" s="11">
        <f t="shared" si="2"/>
        <v>15833.333333333334</v>
      </c>
      <c r="S5" s="11" t="str">
        <f t="shared" si="3"/>
        <v>Middle</v>
      </c>
      <c r="T5" s="11" t="str">
        <f t="shared" si="4"/>
        <v>Partically Recovered</v>
      </c>
      <c r="U5" s="11" t="str">
        <f t="shared" si="5"/>
        <v>Excellent</v>
      </c>
      <c r="V5" s="11" t="str">
        <f t="shared" si="6"/>
        <v>High Cost</v>
      </c>
      <c r="W5" s="11">
        <f t="shared" si="7"/>
        <v>1</v>
      </c>
      <c r="X5" s="11">
        <f t="shared" si="8"/>
        <v>2024</v>
      </c>
      <c r="Y5" s="11" t="str">
        <f t="shared" si="9"/>
        <v>12-Jan-2024</v>
      </c>
      <c r="Z5" s="11" t="str">
        <f t="shared" si="10"/>
        <v>SNEHA PILLAI</v>
      </c>
      <c r="AA5" s="11">
        <f t="shared" si="11"/>
        <v>12</v>
      </c>
      <c r="AB5" s="11" t="str">
        <f t="shared" si="12"/>
        <v>Sneha Pillai|Cardiology</v>
      </c>
    </row>
    <row r="6" spans="1:28" x14ac:dyDescent="0.3">
      <c r="A6" s="2" t="s">
        <v>46</v>
      </c>
      <c r="B6" s="2" t="s">
        <v>47</v>
      </c>
      <c r="C6" s="2">
        <v>62</v>
      </c>
      <c r="D6" s="2" t="s">
        <v>17</v>
      </c>
      <c r="E6" s="2" t="s">
        <v>48</v>
      </c>
      <c r="F6" s="2" t="s">
        <v>49</v>
      </c>
      <c r="G6" s="2" t="s">
        <v>50</v>
      </c>
      <c r="H6" s="2" t="s">
        <v>33</v>
      </c>
      <c r="I6" s="2" t="s">
        <v>51</v>
      </c>
      <c r="J6" s="2" t="s">
        <v>23</v>
      </c>
      <c r="K6" s="2">
        <v>250000</v>
      </c>
      <c r="L6" s="2">
        <v>180000</v>
      </c>
      <c r="M6" s="2" t="s">
        <v>25</v>
      </c>
      <c r="N6" s="2" t="s">
        <v>24</v>
      </c>
      <c r="O6" s="2">
        <v>3.5</v>
      </c>
      <c r="P6" s="2">
        <f t="shared" si="0"/>
        <v>-70000</v>
      </c>
      <c r="Q6" s="2">
        <f t="shared" si="1"/>
        <v>17</v>
      </c>
      <c r="R6" s="11">
        <f t="shared" si="2"/>
        <v>14705.882352941177</v>
      </c>
      <c r="S6" s="11" t="str">
        <f t="shared" si="3"/>
        <v>Senior</v>
      </c>
      <c r="T6" s="11" t="str">
        <f t="shared" si="4"/>
        <v>Not recovered</v>
      </c>
      <c r="U6" s="11" t="str">
        <f t="shared" si="5"/>
        <v>Average</v>
      </c>
      <c r="V6" s="11" t="str">
        <f t="shared" si="6"/>
        <v>High Cost</v>
      </c>
      <c r="W6" s="11">
        <f t="shared" si="7"/>
        <v>1</v>
      </c>
      <c r="X6" s="11">
        <f t="shared" si="8"/>
        <v>2024</v>
      </c>
      <c r="Y6" s="11" t="str">
        <f t="shared" si="9"/>
        <v>15-Jan-2024</v>
      </c>
      <c r="Z6" s="11" t="str">
        <f t="shared" si="10"/>
        <v>KARAN PATEL</v>
      </c>
      <c r="AA6" s="11">
        <f t="shared" si="11"/>
        <v>11</v>
      </c>
      <c r="AB6" s="11" t="str">
        <f t="shared" si="12"/>
        <v>Karan Patel|Oncology</v>
      </c>
    </row>
    <row r="7" spans="1:28" x14ac:dyDescent="0.3">
      <c r="A7" s="3" t="s">
        <v>52</v>
      </c>
      <c r="B7" s="3" t="s">
        <v>53</v>
      </c>
      <c r="C7" s="3">
        <v>31</v>
      </c>
      <c r="D7" s="3" t="s">
        <v>28</v>
      </c>
      <c r="E7" s="3" t="s">
        <v>54</v>
      </c>
      <c r="F7" s="3" t="s">
        <v>30</v>
      </c>
      <c r="G7" s="3" t="s">
        <v>31</v>
      </c>
      <c r="H7" s="3" t="s">
        <v>45</v>
      </c>
      <c r="I7" s="3" t="s">
        <v>55</v>
      </c>
      <c r="J7" s="3" t="s">
        <v>34</v>
      </c>
      <c r="K7" s="3">
        <v>38000</v>
      </c>
      <c r="L7" s="3">
        <v>25000</v>
      </c>
      <c r="M7" s="3" t="s">
        <v>24</v>
      </c>
      <c r="N7" s="3" t="s">
        <v>25</v>
      </c>
      <c r="O7" s="3">
        <v>4.9000000000000004</v>
      </c>
      <c r="P7" s="2">
        <f t="shared" si="0"/>
        <v>-13000</v>
      </c>
      <c r="Q7" s="2">
        <f t="shared" si="1"/>
        <v>4</v>
      </c>
      <c r="R7" s="11">
        <f t="shared" si="2"/>
        <v>9500</v>
      </c>
      <c r="S7" s="11" t="str">
        <f t="shared" si="3"/>
        <v>Middle</v>
      </c>
      <c r="T7" s="11" t="str">
        <f t="shared" si="4"/>
        <v>Partically Recovered</v>
      </c>
      <c r="U7" s="11" t="str">
        <f t="shared" si="5"/>
        <v>Excellent</v>
      </c>
      <c r="V7" s="11" t="str">
        <f t="shared" si="6"/>
        <v>High Cost</v>
      </c>
      <c r="W7" s="11">
        <f t="shared" si="7"/>
        <v>1</v>
      </c>
      <c r="X7" s="11">
        <f t="shared" si="8"/>
        <v>2024</v>
      </c>
      <c r="Y7" s="11" t="str">
        <f t="shared" si="9"/>
        <v>18-Jan-2024</v>
      </c>
      <c r="Z7" s="11" t="str">
        <f t="shared" si="10"/>
        <v>DIVYA REDDY</v>
      </c>
      <c r="AA7" s="11">
        <f t="shared" si="11"/>
        <v>11</v>
      </c>
      <c r="AB7" s="11" t="str">
        <f t="shared" si="12"/>
        <v>Divya Reddy|Orthopedics</v>
      </c>
    </row>
    <row r="8" spans="1:28" x14ac:dyDescent="0.3">
      <c r="A8" s="2" t="s">
        <v>56</v>
      </c>
      <c r="B8" s="2" t="s">
        <v>57</v>
      </c>
      <c r="C8" s="2">
        <v>48</v>
      </c>
      <c r="D8" s="2" t="s">
        <v>17</v>
      </c>
      <c r="E8" s="2" t="s">
        <v>58</v>
      </c>
      <c r="F8" s="2" t="s">
        <v>38</v>
      </c>
      <c r="G8" s="2" t="s">
        <v>39</v>
      </c>
      <c r="H8" s="2" t="s">
        <v>41</v>
      </c>
      <c r="I8" s="2" t="s">
        <v>59</v>
      </c>
      <c r="J8" s="2" t="s">
        <v>23</v>
      </c>
      <c r="K8" s="2">
        <v>110000</v>
      </c>
      <c r="L8" s="2">
        <v>80000</v>
      </c>
      <c r="M8" s="2" t="s">
        <v>24</v>
      </c>
      <c r="N8" s="2" t="s">
        <v>25</v>
      </c>
      <c r="O8" s="2">
        <v>4.0999999999999996</v>
      </c>
      <c r="P8" s="2">
        <f t="shared" si="0"/>
        <v>-30000</v>
      </c>
      <c r="Q8" s="2">
        <f t="shared" si="1"/>
        <v>8</v>
      </c>
      <c r="R8" s="11">
        <f t="shared" si="2"/>
        <v>13750</v>
      </c>
      <c r="S8" s="11" t="str">
        <f t="shared" si="3"/>
        <v>Middle</v>
      </c>
      <c r="T8" s="11" t="str">
        <f t="shared" si="4"/>
        <v>Partically Recovered</v>
      </c>
      <c r="U8" s="11" t="str">
        <f t="shared" si="5"/>
        <v>Good</v>
      </c>
      <c r="V8" s="11" t="str">
        <f t="shared" si="6"/>
        <v>High Cost</v>
      </c>
      <c r="W8" s="11">
        <f t="shared" si="7"/>
        <v>1</v>
      </c>
      <c r="X8" s="11">
        <f t="shared" si="8"/>
        <v>2024</v>
      </c>
      <c r="Y8" s="11" t="str">
        <f t="shared" si="9"/>
        <v>20-Jan-2024</v>
      </c>
      <c r="Z8" s="11" t="str">
        <f t="shared" si="10"/>
        <v>ARJUN DAS</v>
      </c>
      <c r="AA8" s="11">
        <f t="shared" si="11"/>
        <v>9</v>
      </c>
      <c r="AB8" s="11" t="str">
        <f t="shared" si="12"/>
        <v>Arjun Das|Neurology</v>
      </c>
    </row>
    <row r="9" spans="1:28" x14ac:dyDescent="0.3">
      <c r="A9" s="3" t="s">
        <v>60</v>
      </c>
      <c r="B9" s="3" t="s">
        <v>61</v>
      </c>
      <c r="C9" s="3">
        <v>39</v>
      </c>
      <c r="D9" s="3" t="s">
        <v>28</v>
      </c>
      <c r="E9" s="3" t="s">
        <v>18</v>
      </c>
      <c r="F9" s="3" t="s">
        <v>19</v>
      </c>
      <c r="G9" s="3" t="s">
        <v>20</v>
      </c>
      <c r="H9" s="3" t="s">
        <v>55</v>
      </c>
      <c r="I9" s="3" t="s">
        <v>62</v>
      </c>
      <c r="J9" s="3" t="s">
        <v>34</v>
      </c>
      <c r="K9" s="3">
        <v>78000</v>
      </c>
      <c r="L9" s="3">
        <v>55000</v>
      </c>
      <c r="M9" s="3" t="s">
        <v>24</v>
      </c>
      <c r="N9" s="3" t="s">
        <v>25</v>
      </c>
      <c r="O9" s="3">
        <v>4.5999999999999996</v>
      </c>
      <c r="P9" s="2">
        <f t="shared" si="0"/>
        <v>-23000</v>
      </c>
      <c r="Q9" s="2">
        <f t="shared" si="1"/>
        <v>8</v>
      </c>
      <c r="R9" s="11">
        <f t="shared" si="2"/>
        <v>9750</v>
      </c>
      <c r="S9" s="11" t="str">
        <f t="shared" si="3"/>
        <v>Middle</v>
      </c>
      <c r="T9" s="11" t="str">
        <f t="shared" si="4"/>
        <v>Partically Recovered</v>
      </c>
      <c r="U9" s="11" t="str">
        <f t="shared" si="5"/>
        <v>Excellent</v>
      </c>
      <c r="V9" s="11" t="str">
        <f t="shared" si="6"/>
        <v>High Cost</v>
      </c>
      <c r="W9" s="11">
        <f t="shared" si="7"/>
        <v>1</v>
      </c>
      <c r="X9" s="11">
        <f t="shared" si="8"/>
        <v>2024</v>
      </c>
      <c r="Y9" s="11" t="str">
        <f t="shared" si="9"/>
        <v>22-Jan-2024</v>
      </c>
      <c r="Z9" s="11" t="str">
        <f t="shared" si="10"/>
        <v>MEERA JOSHI</v>
      </c>
      <c r="AA9" s="11">
        <f t="shared" si="11"/>
        <v>11</v>
      </c>
      <c r="AB9" s="11" t="str">
        <f t="shared" si="12"/>
        <v>Meera Joshi|Cardiology</v>
      </c>
    </row>
    <row r="10" spans="1:28" x14ac:dyDescent="0.3">
      <c r="A10" s="2" t="s">
        <v>63</v>
      </c>
      <c r="B10" s="2" t="s">
        <v>64</v>
      </c>
      <c r="C10" s="2">
        <v>70</v>
      </c>
      <c r="D10" s="2" t="s">
        <v>17</v>
      </c>
      <c r="E10" s="2" t="s">
        <v>29</v>
      </c>
      <c r="F10" s="2" t="s">
        <v>49</v>
      </c>
      <c r="G10" s="2" t="s">
        <v>50</v>
      </c>
      <c r="H10" s="2" t="s">
        <v>65</v>
      </c>
      <c r="I10" s="2" t="s">
        <v>66</v>
      </c>
      <c r="J10" s="2" t="s">
        <v>23</v>
      </c>
      <c r="K10" s="2">
        <v>320000</v>
      </c>
      <c r="L10" s="2">
        <v>240000</v>
      </c>
      <c r="M10" s="2" t="s">
        <v>25</v>
      </c>
      <c r="N10" s="2" t="s">
        <v>24</v>
      </c>
      <c r="O10" s="2">
        <v>3.2</v>
      </c>
      <c r="P10" s="2">
        <f t="shared" si="0"/>
        <v>-80000</v>
      </c>
      <c r="Q10" s="2">
        <f t="shared" si="1"/>
        <v>16</v>
      </c>
      <c r="R10" s="11">
        <f t="shared" si="2"/>
        <v>20000</v>
      </c>
      <c r="S10" s="11" t="str">
        <f t="shared" si="3"/>
        <v>Early</v>
      </c>
      <c r="T10" s="11" t="str">
        <f t="shared" si="4"/>
        <v>Not recovered</v>
      </c>
      <c r="U10" s="11" t="str">
        <f t="shared" si="5"/>
        <v>Poor</v>
      </c>
      <c r="V10" s="11" t="str">
        <f t="shared" si="6"/>
        <v>High Cost</v>
      </c>
      <c r="W10" s="11">
        <f t="shared" si="7"/>
        <v>1</v>
      </c>
      <c r="X10" s="11">
        <f t="shared" si="8"/>
        <v>2024</v>
      </c>
      <c r="Y10" s="11" t="str">
        <f t="shared" si="9"/>
        <v>25-Jan-2024</v>
      </c>
      <c r="Z10" s="11" t="str">
        <f t="shared" si="10"/>
        <v>VIKRAM SHAH</v>
      </c>
      <c r="AA10" s="11">
        <f t="shared" si="11"/>
        <v>11</v>
      </c>
      <c r="AB10" s="11" t="str">
        <f t="shared" si="12"/>
        <v>Vikram Shah|Oncology</v>
      </c>
    </row>
    <row r="11" spans="1:28" x14ac:dyDescent="0.3">
      <c r="A11" s="3" t="s">
        <v>67</v>
      </c>
      <c r="B11" s="3" t="s">
        <v>68</v>
      </c>
      <c r="C11" s="3">
        <v>26</v>
      </c>
      <c r="D11" s="3" t="s">
        <v>28</v>
      </c>
      <c r="E11" s="3" t="s">
        <v>37</v>
      </c>
      <c r="F11" s="3" t="s">
        <v>30</v>
      </c>
      <c r="G11" s="3" t="s">
        <v>31</v>
      </c>
      <c r="H11" s="3" t="s">
        <v>59</v>
      </c>
      <c r="I11" s="3" t="s">
        <v>69</v>
      </c>
      <c r="J11" s="3" t="s">
        <v>34</v>
      </c>
      <c r="K11" s="3">
        <v>35000</v>
      </c>
      <c r="L11" s="3">
        <v>20000</v>
      </c>
      <c r="M11" s="3" t="s">
        <v>24</v>
      </c>
      <c r="N11" s="3" t="s">
        <v>25</v>
      </c>
      <c r="O11" s="3">
        <v>4.8</v>
      </c>
      <c r="P11" s="2">
        <f t="shared" si="0"/>
        <v>-15000</v>
      </c>
      <c r="Q11" s="2">
        <f t="shared" si="1"/>
        <v>5</v>
      </c>
      <c r="R11" s="11">
        <f t="shared" si="2"/>
        <v>7000</v>
      </c>
      <c r="S11" s="11" t="str">
        <f t="shared" si="3"/>
        <v>Young</v>
      </c>
      <c r="T11" s="11" t="str">
        <f t="shared" si="4"/>
        <v>Partically Recovered</v>
      </c>
      <c r="U11" s="11" t="str">
        <f t="shared" si="5"/>
        <v>Excellent</v>
      </c>
      <c r="V11" s="11" t="str">
        <f t="shared" si="6"/>
        <v>High Cost</v>
      </c>
      <c r="W11" s="11">
        <f t="shared" si="7"/>
        <v>1</v>
      </c>
      <c r="X11" s="11">
        <f t="shared" si="8"/>
        <v>2024</v>
      </c>
      <c r="Y11" s="11" t="str">
        <f t="shared" si="9"/>
        <v>28-Jan-2024</v>
      </c>
      <c r="Z11" s="11" t="str">
        <f t="shared" si="10"/>
        <v>ANANYA KUMAR</v>
      </c>
      <c r="AA11" s="11">
        <f t="shared" si="11"/>
        <v>12</v>
      </c>
      <c r="AB11" s="11" t="str">
        <f t="shared" si="12"/>
        <v>Ananya Kumar|Orthopedics</v>
      </c>
    </row>
    <row r="12" spans="1:28" x14ac:dyDescent="0.3">
      <c r="A12" s="2" t="s">
        <v>70</v>
      </c>
      <c r="B12" s="2" t="s">
        <v>71</v>
      </c>
      <c r="C12" s="2">
        <v>53</v>
      </c>
      <c r="D12" s="2" t="s">
        <v>17</v>
      </c>
      <c r="E12" s="2" t="s">
        <v>72</v>
      </c>
      <c r="F12" s="2" t="s">
        <v>38</v>
      </c>
      <c r="G12" s="2" t="s">
        <v>39</v>
      </c>
      <c r="H12" s="2" t="s">
        <v>51</v>
      </c>
      <c r="I12" s="2" t="s">
        <v>66</v>
      </c>
      <c r="J12" s="2" t="s">
        <v>23</v>
      </c>
      <c r="K12" s="2">
        <v>145000</v>
      </c>
      <c r="L12" s="2">
        <v>100000</v>
      </c>
      <c r="M12" s="2" t="s">
        <v>24</v>
      </c>
      <c r="N12" s="2" t="s">
        <v>25</v>
      </c>
      <c r="O12" s="2">
        <v>4.3</v>
      </c>
      <c r="P12" s="2">
        <f t="shared" si="0"/>
        <v>-45000</v>
      </c>
      <c r="Q12" s="2">
        <f t="shared" si="1"/>
        <v>9</v>
      </c>
      <c r="R12" s="11">
        <f t="shared" si="2"/>
        <v>16111.111111111111</v>
      </c>
      <c r="S12" s="11" t="str">
        <f t="shared" si="3"/>
        <v>Senior</v>
      </c>
      <c r="T12" s="11" t="str">
        <f t="shared" si="4"/>
        <v>Partically Recovered</v>
      </c>
      <c r="U12" s="11" t="str">
        <f t="shared" si="5"/>
        <v>Good</v>
      </c>
      <c r="V12" s="11" t="str">
        <f t="shared" si="6"/>
        <v>High Cost</v>
      </c>
      <c r="W12" s="11">
        <f t="shared" si="7"/>
        <v>2</v>
      </c>
      <c r="X12" s="11">
        <f t="shared" si="8"/>
        <v>2024</v>
      </c>
      <c r="Y12" s="11" t="str">
        <f t="shared" si="9"/>
        <v>01-Feb-2024</v>
      </c>
      <c r="Z12" s="11" t="str">
        <f t="shared" si="10"/>
        <v>RAHUL IYER</v>
      </c>
      <c r="AA12" s="11">
        <f t="shared" si="11"/>
        <v>10</v>
      </c>
      <c r="AB12" s="11" t="str">
        <f t="shared" si="12"/>
        <v>Rahul Iyer|Neurology</v>
      </c>
    </row>
    <row r="13" spans="1:28" x14ac:dyDescent="0.3">
      <c r="A13" s="3" t="s">
        <v>73</v>
      </c>
      <c r="B13" s="3" t="s">
        <v>74</v>
      </c>
      <c r="C13" s="3">
        <v>42</v>
      </c>
      <c r="D13" s="3" t="s">
        <v>28</v>
      </c>
      <c r="E13" s="3" t="s">
        <v>18</v>
      </c>
      <c r="F13" s="3" t="s">
        <v>19</v>
      </c>
      <c r="G13" s="3" t="s">
        <v>20</v>
      </c>
      <c r="H13" s="3" t="s">
        <v>75</v>
      </c>
      <c r="I13" s="3" t="s">
        <v>76</v>
      </c>
      <c r="J13" s="3" t="s">
        <v>34</v>
      </c>
      <c r="K13" s="3">
        <v>88000</v>
      </c>
      <c r="L13" s="3">
        <v>65000</v>
      </c>
      <c r="M13" s="3" t="s">
        <v>24</v>
      </c>
      <c r="N13" s="3" t="s">
        <v>25</v>
      </c>
      <c r="O13" s="3">
        <v>4.5</v>
      </c>
      <c r="P13" s="2">
        <f t="shared" si="0"/>
        <v>-23000</v>
      </c>
      <c r="Q13" s="2">
        <f t="shared" si="1"/>
        <v>6</v>
      </c>
      <c r="R13" s="11">
        <f t="shared" si="2"/>
        <v>14666.666666666666</v>
      </c>
      <c r="S13" s="11" t="str">
        <f t="shared" si="3"/>
        <v>Middle</v>
      </c>
      <c r="T13" s="11" t="str">
        <f t="shared" si="4"/>
        <v>Partically Recovered</v>
      </c>
      <c r="U13" s="11" t="str">
        <f t="shared" si="5"/>
        <v>Excellent</v>
      </c>
      <c r="V13" s="11" t="str">
        <f t="shared" si="6"/>
        <v>High Cost</v>
      </c>
      <c r="W13" s="11">
        <f t="shared" si="7"/>
        <v>2</v>
      </c>
      <c r="X13" s="11">
        <f t="shared" si="8"/>
        <v>2024</v>
      </c>
      <c r="Y13" s="11" t="str">
        <f t="shared" si="9"/>
        <v>03-Feb-2024</v>
      </c>
      <c r="Z13" s="11" t="str">
        <f t="shared" si="10"/>
        <v>POOJA MEHTA</v>
      </c>
      <c r="AA13" s="11">
        <f t="shared" si="11"/>
        <v>11</v>
      </c>
      <c r="AB13" s="11" t="str">
        <f t="shared" si="12"/>
        <v>Pooja Mehta|Cardiology</v>
      </c>
    </row>
    <row r="14" spans="1:28" x14ac:dyDescent="0.3">
      <c r="A14" s="2" t="s">
        <v>77</v>
      </c>
      <c r="B14" s="2" t="s">
        <v>78</v>
      </c>
      <c r="C14" s="2">
        <v>58</v>
      </c>
      <c r="D14" s="2" t="s">
        <v>17</v>
      </c>
      <c r="E14" s="2" t="s">
        <v>29</v>
      </c>
      <c r="F14" s="2" t="s">
        <v>49</v>
      </c>
      <c r="G14" s="2" t="s">
        <v>50</v>
      </c>
      <c r="H14" s="2" t="s">
        <v>79</v>
      </c>
      <c r="I14" s="2" t="s">
        <v>80</v>
      </c>
      <c r="J14" s="2" t="s">
        <v>23</v>
      </c>
      <c r="K14" s="2">
        <v>275000</v>
      </c>
      <c r="L14" s="2">
        <v>200000</v>
      </c>
      <c r="M14" s="2" t="s">
        <v>25</v>
      </c>
      <c r="N14" s="2" t="s">
        <v>24</v>
      </c>
      <c r="O14" s="2">
        <v>3.6</v>
      </c>
      <c r="P14" s="2">
        <f t="shared" si="0"/>
        <v>-75000</v>
      </c>
      <c r="Q14" s="2">
        <f t="shared" si="1"/>
        <v>15</v>
      </c>
      <c r="R14" s="11">
        <f t="shared" si="2"/>
        <v>18333.333333333332</v>
      </c>
      <c r="S14" s="11" t="str">
        <f t="shared" si="3"/>
        <v>Senior</v>
      </c>
      <c r="T14" s="11" t="str">
        <f t="shared" si="4"/>
        <v>Not recovered</v>
      </c>
      <c r="U14" s="11" t="str">
        <f t="shared" si="5"/>
        <v>Average</v>
      </c>
      <c r="V14" s="11" t="str">
        <f t="shared" si="6"/>
        <v>High Cost</v>
      </c>
      <c r="W14" s="11">
        <f t="shared" si="7"/>
        <v>2</v>
      </c>
      <c r="X14" s="11">
        <f t="shared" si="8"/>
        <v>2024</v>
      </c>
      <c r="Y14" s="11" t="str">
        <f t="shared" si="9"/>
        <v>05-Feb-2024</v>
      </c>
      <c r="Z14" s="11" t="str">
        <f t="shared" si="10"/>
        <v>NIKHIL RAO</v>
      </c>
      <c r="AA14" s="11">
        <f t="shared" si="11"/>
        <v>10</v>
      </c>
      <c r="AB14" s="11" t="str">
        <f t="shared" si="12"/>
        <v>Nikhil Rao|Oncology</v>
      </c>
    </row>
    <row r="15" spans="1:28" x14ac:dyDescent="0.3">
      <c r="A15" s="3" t="s">
        <v>81</v>
      </c>
      <c r="B15" s="3" t="s">
        <v>82</v>
      </c>
      <c r="C15" s="3">
        <v>35</v>
      </c>
      <c r="D15" s="3" t="s">
        <v>28</v>
      </c>
      <c r="E15" s="3" t="s">
        <v>37</v>
      </c>
      <c r="F15" s="3" t="s">
        <v>30</v>
      </c>
      <c r="G15" s="3" t="s">
        <v>31</v>
      </c>
      <c r="H15" s="3" t="s">
        <v>83</v>
      </c>
      <c r="I15" s="3" t="s">
        <v>84</v>
      </c>
      <c r="J15" s="3" t="s">
        <v>34</v>
      </c>
      <c r="K15" s="3">
        <v>41000</v>
      </c>
      <c r="L15" s="3">
        <v>28000</v>
      </c>
      <c r="M15" s="3" t="s">
        <v>24</v>
      </c>
      <c r="N15" s="3" t="s">
        <v>25</v>
      </c>
      <c r="O15" s="3">
        <v>4.7</v>
      </c>
      <c r="P15" s="2">
        <f t="shared" si="0"/>
        <v>-13000</v>
      </c>
      <c r="Q15" s="2">
        <f t="shared" si="1"/>
        <v>4</v>
      </c>
      <c r="R15" s="11">
        <f t="shared" si="2"/>
        <v>10250</v>
      </c>
      <c r="S15" s="11" t="str">
        <f t="shared" si="3"/>
        <v>Middle</v>
      </c>
      <c r="T15" s="11" t="str">
        <f t="shared" si="4"/>
        <v>Partically Recovered</v>
      </c>
      <c r="U15" s="11" t="str">
        <f t="shared" si="5"/>
        <v>Excellent</v>
      </c>
      <c r="V15" s="11" t="str">
        <f t="shared" si="6"/>
        <v>High Cost</v>
      </c>
      <c r="W15" s="11">
        <f t="shared" si="7"/>
        <v>2</v>
      </c>
      <c r="X15" s="11">
        <f t="shared" si="8"/>
        <v>2024</v>
      </c>
      <c r="Y15" s="11" t="str">
        <f t="shared" si="9"/>
        <v>08-Feb-2024</v>
      </c>
      <c r="Z15" s="11" t="str">
        <f t="shared" si="10"/>
        <v>KAVYA SINGH</v>
      </c>
      <c r="AA15" s="11">
        <f t="shared" si="11"/>
        <v>11</v>
      </c>
      <c r="AB15" s="11" t="str">
        <f t="shared" si="12"/>
        <v>Kavya Singh|Orthopedics</v>
      </c>
    </row>
    <row r="16" spans="1:28" x14ac:dyDescent="0.3">
      <c r="A16" s="2" t="s">
        <v>85</v>
      </c>
      <c r="B16" s="2" t="s">
        <v>86</v>
      </c>
      <c r="C16" s="2">
        <v>67</v>
      </c>
      <c r="D16" s="2" t="s">
        <v>17</v>
      </c>
      <c r="E16" s="2" t="s">
        <v>48</v>
      </c>
      <c r="F16" s="2" t="s">
        <v>38</v>
      </c>
      <c r="G16" s="2" t="s">
        <v>39</v>
      </c>
      <c r="H16" s="2" t="s">
        <v>66</v>
      </c>
      <c r="I16" s="2" t="s">
        <v>87</v>
      </c>
      <c r="J16" s="2" t="s">
        <v>23</v>
      </c>
      <c r="K16" s="2">
        <v>160000</v>
      </c>
      <c r="L16" s="2">
        <v>120000</v>
      </c>
      <c r="M16" s="2" t="s">
        <v>24</v>
      </c>
      <c r="N16" s="2" t="s">
        <v>25</v>
      </c>
      <c r="O16" s="2">
        <v>4</v>
      </c>
      <c r="P16" s="2">
        <f t="shared" si="0"/>
        <v>-40000</v>
      </c>
      <c r="Q16" s="2">
        <f t="shared" si="1"/>
        <v>12</v>
      </c>
      <c r="R16" s="11">
        <f t="shared" si="2"/>
        <v>13333.333333333334</v>
      </c>
      <c r="S16" s="11" t="str">
        <f t="shared" si="3"/>
        <v>Early</v>
      </c>
      <c r="T16" s="11" t="str">
        <f t="shared" si="4"/>
        <v>Partically Recovered</v>
      </c>
      <c r="U16" s="11" t="str">
        <f t="shared" si="5"/>
        <v>Good</v>
      </c>
      <c r="V16" s="11" t="str">
        <f t="shared" si="6"/>
        <v>High Cost</v>
      </c>
      <c r="W16" s="11">
        <f t="shared" si="7"/>
        <v>2</v>
      </c>
      <c r="X16" s="11">
        <f t="shared" si="8"/>
        <v>2024</v>
      </c>
      <c r="Y16" s="11" t="str">
        <f t="shared" si="9"/>
        <v>10-Feb-2024</v>
      </c>
      <c r="Z16" s="11" t="str">
        <f t="shared" si="10"/>
        <v>SIDDHARTH DAS</v>
      </c>
      <c r="AA16" s="11">
        <f t="shared" si="11"/>
        <v>13</v>
      </c>
      <c r="AB16" s="11" t="str">
        <f t="shared" si="12"/>
        <v>Siddharth Das|Neurology</v>
      </c>
    </row>
    <row r="17" spans="1:28" x14ac:dyDescent="0.3">
      <c r="A17" s="3" t="s">
        <v>88</v>
      </c>
      <c r="B17" s="3" t="s">
        <v>89</v>
      </c>
      <c r="C17" s="3">
        <v>44</v>
      </c>
      <c r="D17" s="3" t="s">
        <v>28</v>
      </c>
      <c r="E17" s="3" t="s">
        <v>29</v>
      </c>
      <c r="F17" s="3" t="s">
        <v>19</v>
      </c>
      <c r="G17" s="3" t="s">
        <v>20</v>
      </c>
      <c r="H17" s="3" t="s">
        <v>84</v>
      </c>
      <c r="I17" s="3" t="s">
        <v>90</v>
      </c>
      <c r="J17" s="3" t="s">
        <v>34</v>
      </c>
      <c r="K17" s="3">
        <v>92000</v>
      </c>
      <c r="L17" s="3">
        <v>68000</v>
      </c>
      <c r="M17" s="3" t="s">
        <v>24</v>
      </c>
      <c r="N17" s="3" t="s">
        <v>25</v>
      </c>
      <c r="O17" s="3">
        <v>4.4000000000000004</v>
      </c>
      <c r="P17" s="2">
        <f t="shared" si="0"/>
        <v>-24000</v>
      </c>
      <c r="Q17" s="2">
        <f t="shared" si="1"/>
        <v>6</v>
      </c>
      <c r="R17" s="11">
        <f t="shared" si="2"/>
        <v>15333.333333333334</v>
      </c>
      <c r="S17" s="11" t="str">
        <f t="shared" si="3"/>
        <v>Middle</v>
      </c>
      <c r="T17" s="11" t="str">
        <f t="shared" si="4"/>
        <v>Partically Recovered</v>
      </c>
      <c r="U17" s="11" t="str">
        <f t="shared" si="5"/>
        <v>Good</v>
      </c>
      <c r="V17" s="11" t="str">
        <f t="shared" si="6"/>
        <v>High Cost</v>
      </c>
      <c r="W17" s="11">
        <f t="shared" si="7"/>
        <v>2</v>
      </c>
      <c r="X17" s="11">
        <f t="shared" si="8"/>
        <v>2024</v>
      </c>
      <c r="Y17" s="11" t="str">
        <f t="shared" si="9"/>
        <v>12-Feb-2024</v>
      </c>
      <c r="Z17" s="11" t="str">
        <f t="shared" si="10"/>
        <v>LAKSHMI NAIR</v>
      </c>
      <c r="AA17" s="11">
        <f t="shared" si="11"/>
        <v>12</v>
      </c>
      <c r="AB17" s="11" t="str">
        <f t="shared" si="12"/>
        <v>Lakshmi Nair|Cardiology</v>
      </c>
    </row>
    <row r="18" spans="1:28" x14ac:dyDescent="0.3">
      <c r="A18" s="2" t="s">
        <v>91</v>
      </c>
      <c r="B18" s="2" t="s">
        <v>92</v>
      </c>
      <c r="C18" s="2">
        <v>29</v>
      </c>
      <c r="D18" s="2" t="s">
        <v>17</v>
      </c>
      <c r="E18" s="2" t="s">
        <v>37</v>
      </c>
      <c r="F18" s="2" t="s">
        <v>30</v>
      </c>
      <c r="G18" s="2" t="s">
        <v>31</v>
      </c>
      <c r="H18" s="2" t="s">
        <v>93</v>
      </c>
      <c r="I18" s="2" t="s">
        <v>94</v>
      </c>
      <c r="J18" s="2" t="s">
        <v>34</v>
      </c>
      <c r="K18" s="2">
        <v>33000</v>
      </c>
      <c r="L18" s="2">
        <v>18000</v>
      </c>
      <c r="M18" s="2" t="s">
        <v>24</v>
      </c>
      <c r="N18" s="2" t="s">
        <v>25</v>
      </c>
      <c r="O18" s="2">
        <v>3.9</v>
      </c>
      <c r="P18" s="2">
        <f t="shared" si="0"/>
        <v>-15000</v>
      </c>
      <c r="Q18" s="2">
        <f t="shared" si="1"/>
        <v>4</v>
      </c>
      <c r="R18" s="11">
        <f t="shared" si="2"/>
        <v>8250</v>
      </c>
      <c r="S18" s="11" t="str">
        <f t="shared" si="3"/>
        <v>Young</v>
      </c>
      <c r="T18" s="11" t="str">
        <f t="shared" si="4"/>
        <v>Partically Recovered</v>
      </c>
      <c r="U18" s="11" t="str">
        <f t="shared" si="5"/>
        <v>Average</v>
      </c>
      <c r="V18" s="11" t="str">
        <f t="shared" si="6"/>
        <v>High Cost</v>
      </c>
      <c r="W18" s="11">
        <f t="shared" si="7"/>
        <v>2</v>
      </c>
      <c r="X18" s="11">
        <f t="shared" si="8"/>
        <v>2024</v>
      </c>
      <c r="Y18" s="11" t="str">
        <f t="shared" si="9"/>
        <v>15-Feb-2024</v>
      </c>
      <c r="Z18" s="11" t="str">
        <f t="shared" si="10"/>
        <v>ADITYA PATEL</v>
      </c>
      <c r="AA18" s="11">
        <f t="shared" si="11"/>
        <v>12</v>
      </c>
      <c r="AB18" s="11" t="str">
        <f t="shared" si="12"/>
        <v>Aditya Patel|Orthopedics</v>
      </c>
    </row>
    <row r="19" spans="1:28" x14ac:dyDescent="0.3">
      <c r="A19" s="3" t="s">
        <v>95</v>
      </c>
      <c r="B19" s="3" t="s">
        <v>96</v>
      </c>
      <c r="C19" s="3">
        <v>51</v>
      </c>
      <c r="D19" s="3" t="s">
        <v>28</v>
      </c>
      <c r="E19" s="3" t="s">
        <v>44</v>
      </c>
      <c r="F19" s="3" t="s">
        <v>49</v>
      </c>
      <c r="G19" s="3" t="s">
        <v>50</v>
      </c>
      <c r="H19" s="3" t="s">
        <v>90</v>
      </c>
      <c r="I19" s="3" t="s">
        <v>97</v>
      </c>
      <c r="J19" s="3" t="s">
        <v>23</v>
      </c>
      <c r="K19" s="3">
        <v>290000</v>
      </c>
      <c r="L19" s="3">
        <v>210000</v>
      </c>
      <c r="M19" s="3" t="s">
        <v>25</v>
      </c>
      <c r="N19" s="3" t="s">
        <v>24</v>
      </c>
      <c r="O19" s="3">
        <v>3.4</v>
      </c>
      <c r="P19" s="2">
        <f t="shared" si="0"/>
        <v>-80000</v>
      </c>
      <c r="Q19" s="2">
        <f t="shared" si="1"/>
        <v>16</v>
      </c>
      <c r="R19" s="11">
        <f t="shared" si="2"/>
        <v>18125</v>
      </c>
      <c r="S19" s="11" t="str">
        <f t="shared" si="3"/>
        <v>Senior</v>
      </c>
      <c r="T19" s="11" t="str">
        <f t="shared" si="4"/>
        <v>Not recovered</v>
      </c>
      <c r="U19" s="11" t="str">
        <f t="shared" si="5"/>
        <v>Poor</v>
      </c>
      <c r="V19" s="11" t="str">
        <f t="shared" si="6"/>
        <v>High Cost</v>
      </c>
      <c r="W19" s="11">
        <f t="shared" si="7"/>
        <v>2</v>
      </c>
      <c r="X19" s="11">
        <f t="shared" si="8"/>
        <v>2024</v>
      </c>
      <c r="Y19" s="11" t="str">
        <f t="shared" si="9"/>
        <v>18-Feb-2024</v>
      </c>
      <c r="Z19" s="11" t="str">
        <f t="shared" si="10"/>
        <v>NISHA VERMA</v>
      </c>
      <c r="AA19" s="11">
        <f t="shared" si="11"/>
        <v>11</v>
      </c>
      <c r="AB19" s="11" t="str">
        <f t="shared" si="12"/>
        <v>Nisha Verma|Oncology</v>
      </c>
    </row>
    <row r="20" spans="1:28" x14ac:dyDescent="0.3">
      <c r="A20" s="2" t="s">
        <v>98</v>
      </c>
      <c r="B20" s="2" t="s">
        <v>99</v>
      </c>
      <c r="C20" s="2">
        <v>73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80</v>
      </c>
      <c r="I20" s="2" t="s">
        <v>100</v>
      </c>
      <c r="J20" s="2" t="s">
        <v>23</v>
      </c>
      <c r="K20" s="2">
        <v>185000</v>
      </c>
      <c r="L20" s="2">
        <v>140000</v>
      </c>
      <c r="M20" s="2" t="s">
        <v>24</v>
      </c>
      <c r="N20" s="2" t="s">
        <v>25</v>
      </c>
      <c r="O20" s="2">
        <v>4.5999999999999996</v>
      </c>
      <c r="P20" s="2">
        <f t="shared" si="0"/>
        <v>-45000</v>
      </c>
      <c r="Q20" s="2">
        <f t="shared" si="1"/>
        <v>11</v>
      </c>
      <c r="R20" s="11">
        <f t="shared" si="2"/>
        <v>16818.18181818182</v>
      </c>
      <c r="S20" s="11" t="str">
        <f t="shared" si="3"/>
        <v>Early</v>
      </c>
      <c r="T20" s="11" t="str">
        <f t="shared" si="4"/>
        <v>Partically Recovered</v>
      </c>
      <c r="U20" s="11" t="str">
        <f t="shared" si="5"/>
        <v>Excellent</v>
      </c>
      <c r="V20" s="11" t="str">
        <f t="shared" si="6"/>
        <v>High Cost</v>
      </c>
      <c r="W20" s="11">
        <f t="shared" si="7"/>
        <v>2</v>
      </c>
      <c r="X20" s="11">
        <f t="shared" si="8"/>
        <v>2024</v>
      </c>
      <c r="Y20" s="11" t="str">
        <f t="shared" si="9"/>
        <v>20-Feb-2024</v>
      </c>
      <c r="Z20" s="11" t="str">
        <f t="shared" si="10"/>
        <v>RAJESH KUMAR</v>
      </c>
      <c r="AA20" s="11">
        <f t="shared" si="11"/>
        <v>12</v>
      </c>
      <c r="AB20" s="11" t="str">
        <f t="shared" si="12"/>
        <v>Rajesh Kumar|Cardiology</v>
      </c>
    </row>
    <row r="21" spans="1:28" x14ac:dyDescent="0.3">
      <c r="A21" s="3" t="s">
        <v>101</v>
      </c>
      <c r="B21" s="3" t="s">
        <v>102</v>
      </c>
      <c r="C21" s="3">
        <v>38</v>
      </c>
      <c r="D21" s="3" t="s">
        <v>28</v>
      </c>
      <c r="E21" s="3" t="s">
        <v>54</v>
      </c>
      <c r="F21" s="3" t="s">
        <v>38</v>
      </c>
      <c r="G21" s="3" t="s">
        <v>39</v>
      </c>
      <c r="H21" s="3" t="s">
        <v>87</v>
      </c>
      <c r="I21" s="3" t="s">
        <v>103</v>
      </c>
      <c r="J21" s="3" t="s">
        <v>34</v>
      </c>
      <c r="K21" s="3">
        <v>72000</v>
      </c>
      <c r="L21" s="3">
        <v>50000</v>
      </c>
      <c r="M21" s="3" t="s">
        <v>24</v>
      </c>
      <c r="N21" s="3" t="s">
        <v>25</v>
      </c>
      <c r="O21" s="3">
        <v>4.2</v>
      </c>
      <c r="P21" s="2">
        <f t="shared" si="0"/>
        <v>-22000</v>
      </c>
      <c r="Q21" s="2">
        <f t="shared" si="1"/>
        <v>6</v>
      </c>
      <c r="R21" s="11">
        <f t="shared" si="2"/>
        <v>12000</v>
      </c>
      <c r="S21" s="11" t="str">
        <f t="shared" si="3"/>
        <v>Middle</v>
      </c>
      <c r="T21" s="11" t="str">
        <f t="shared" si="4"/>
        <v>Partically Recovered</v>
      </c>
      <c r="U21" s="11" t="str">
        <f t="shared" si="5"/>
        <v>Good</v>
      </c>
      <c r="V21" s="11" t="str">
        <f t="shared" si="6"/>
        <v>High Cost</v>
      </c>
      <c r="W21" s="11">
        <f t="shared" si="7"/>
        <v>2</v>
      </c>
      <c r="X21" s="11">
        <f t="shared" si="8"/>
        <v>2024</v>
      </c>
      <c r="Y21" s="11" t="str">
        <f t="shared" si="9"/>
        <v>22-Feb-2024</v>
      </c>
      <c r="Z21" s="11" t="str">
        <f t="shared" si="10"/>
        <v>SUNITA SHAH</v>
      </c>
      <c r="AA21" s="11">
        <f t="shared" si="11"/>
        <v>11</v>
      </c>
      <c r="AB21" s="11" t="str">
        <f t="shared" si="12"/>
        <v>Sunita Shah|Neurology</v>
      </c>
    </row>
    <row r="22" spans="1:28" x14ac:dyDescent="0.3">
      <c r="A22" s="2" t="s">
        <v>104</v>
      </c>
      <c r="B22" s="2" t="s">
        <v>105</v>
      </c>
      <c r="C22" s="2">
        <v>46</v>
      </c>
      <c r="D22" s="2" t="s">
        <v>17</v>
      </c>
      <c r="E22" s="2" t="s">
        <v>37</v>
      </c>
      <c r="F22" s="2" t="s">
        <v>49</v>
      </c>
      <c r="G22" s="2" t="s">
        <v>50</v>
      </c>
      <c r="H22" s="2" t="s">
        <v>106</v>
      </c>
      <c r="I22" s="2" t="s">
        <v>107</v>
      </c>
      <c r="J22" s="2" t="s">
        <v>23</v>
      </c>
      <c r="K22" s="2">
        <v>310000</v>
      </c>
      <c r="L22" s="2">
        <v>230000</v>
      </c>
      <c r="M22" s="2" t="s">
        <v>25</v>
      </c>
      <c r="N22" s="2" t="s">
        <v>24</v>
      </c>
      <c r="O22" s="2">
        <v>3.3</v>
      </c>
      <c r="P22" s="2">
        <f t="shared" si="0"/>
        <v>-80000</v>
      </c>
      <c r="Q22" s="2">
        <f t="shared" si="1"/>
        <v>14</v>
      </c>
      <c r="R22" s="11">
        <f t="shared" si="2"/>
        <v>22142.857142857141</v>
      </c>
      <c r="S22" s="11" t="str">
        <f t="shared" si="3"/>
        <v>Middle</v>
      </c>
      <c r="T22" s="11" t="str">
        <f t="shared" si="4"/>
        <v>Not recovered</v>
      </c>
      <c r="U22" s="11" t="str">
        <f t="shared" si="5"/>
        <v>Poor</v>
      </c>
      <c r="V22" s="11" t="str">
        <f t="shared" si="6"/>
        <v>High Cost</v>
      </c>
      <c r="W22" s="11">
        <f t="shared" si="7"/>
        <v>3</v>
      </c>
      <c r="X22" s="11">
        <f t="shared" si="8"/>
        <v>2024</v>
      </c>
      <c r="Y22" s="11" t="str">
        <f t="shared" si="9"/>
        <v>01-Mar-2024</v>
      </c>
      <c r="Z22" s="11" t="str">
        <f t="shared" si="10"/>
        <v>AMIT SHARMA</v>
      </c>
      <c r="AA22" s="11">
        <f t="shared" si="11"/>
        <v>11</v>
      </c>
      <c r="AB22" s="11" t="str">
        <f t="shared" si="12"/>
        <v>Amit Sharma|Oncology</v>
      </c>
    </row>
    <row r="23" spans="1:28" x14ac:dyDescent="0.3">
      <c r="A23" s="3" t="s">
        <v>108</v>
      </c>
      <c r="B23" s="3" t="s">
        <v>109</v>
      </c>
      <c r="C23" s="3">
        <v>33</v>
      </c>
      <c r="D23" s="3" t="s">
        <v>28</v>
      </c>
      <c r="E23" s="3" t="s">
        <v>18</v>
      </c>
      <c r="F23" s="3" t="s">
        <v>30</v>
      </c>
      <c r="G23" s="3" t="s">
        <v>31</v>
      </c>
      <c r="H23" s="3" t="s">
        <v>110</v>
      </c>
      <c r="I23" s="3" t="s">
        <v>111</v>
      </c>
      <c r="J23" s="3" t="s">
        <v>34</v>
      </c>
      <c r="K23" s="3">
        <v>39000</v>
      </c>
      <c r="L23" s="3">
        <v>26000</v>
      </c>
      <c r="M23" s="3" t="s">
        <v>24</v>
      </c>
      <c r="N23" s="3" t="s">
        <v>25</v>
      </c>
      <c r="O23" s="3">
        <v>4.8</v>
      </c>
      <c r="P23" s="2">
        <f t="shared" si="0"/>
        <v>-13000</v>
      </c>
      <c r="Q23" s="2">
        <f t="shared" si="1"/>
        <v>4</v>
      </c>
      <c r="R23" s="11">
        <f t="shared" si="2"/>
        <v>9750</v>
      </c>
      <c r="S23" s="11" t="str">
        <f t="shared" si="3"/>
        <v>Middle</v>
      </c>
      <c r="T23" s="11" t="str">
        <f t="shared" si="4"/>
        <v>Partically Recovered</v>
      </c>
      <c r="U23" s="11" t="str">
        <f t="shared" si="5"/>
        <v>Excellent</v>
      </c>
      <c r="V23" s="11" t="str">
        <f t="shared" si="6"/>
        <v>High Cost</v>
      </c>
      <c r="W23" s="11">
        <f t="shared" si="7"/>
        <v>3</v>
      </c>
      <c r="X23" s="11">
        <f t="shared" si="8"/>
        <v>2024</v>
      </c>
      <c r="Y23" s="11" t="str">
        <f t="shared" si="9"/>
        <v>03-Mar-2024</v>
      </c>
      <c r="Z23" s="11" t="str">
        <f t="shared" si="10"/>
        <v>DEEPA RAO</v>
      </c>
      <c r="AA23" s="11">
        <f t="shared" si="11"/>
        <v>9</v>
      </c>
      <c r="AB23" s="11" t="str">
        <f t="shared" si="12"/>
        <v>Deepa Rao|Orthopedics</v>
      </c>
    </row>
    <row r="24" spans="1:28" x14ac:dyDescent="0.3">
      <c r="A24" s="2" t="s">
        <v>112</v>
      </c>
      <c r="B24" s="2" t="s">
        <v>113</v>
      </c>
      <c r="C24" s="2">
        <v>61</v>
      </c>
      <c r="D24" s="2" t="s">
        <v>17</v>
      </c>
      <c r="E24" s="2" t="s">
        <v>29</v>
      </c>
      <c r="F24" s="2" t="s">
        <v>19</v>
      </c>
      <c r="G24" s="2" t="s">
        <v>20</v>
      </c>
      <c r="H24" s="2" t="s">
        <v>97</v>
      </c>
      <c r="I24" s="2" t="s">
        <v>114</v>
      </c>
      <c r="J24" s="2" t="s">
        <v>23</v>
      </c>
      <c r="K24" s="2">
        <v>195000</v>
      </c>
      <c r="L24" s="2">
        <v>145000</v>
      </c>
      <c r="M24" s="2" t="s">
        <v>24</v>
      </c>
      <c r="N24" s="2" t="s">
        <v>25</v>
      </c>
      <c r="O24" s="2">
        <v>4.0999999999999996</v>
      </c>
      <c r="P24" s="2">
        <f t="shared" si="0"/>
        <v>-50000</v>
      </c>
      <c r="Q24" s="2">
        <f t="shared" si="1"/>
        <v>9</v>
      </c>
      <c r="R24" s="11">
        <f t="shared" si="2"/>
        <v>21666.666666666668</v>
      </c>
      <c r="S24" s="11" t="str">
        <f t="shared" si="3"/>
        <v>Senior</v>
      </c>
      <c r="T24" s="11" t="str">
        <f t="shared" si="4"/>
        <v>Partically Recovered</v>
      </c>
      <c r="U24" s="11" t="str">
        <f t="shared" si="5"/>
        <v>Good</v>
      </c>
      <c r="V24" s="11" t="str">
        <f t="shared" si="6"/>
        <v>High Cost</v>
      </c>
      <c r="W24" s="11">
        <f t="shared" si="7"/>
        <v>3</v>
      </c>
      <c r="X24" s="11">
        <f t="shared" si="8"/>
        <v>2024</v>
      </c>
      <c r="Y24" s="11" t="str">
        <f t="shared" si="9"/>
        <v>05-Mar-2024</v>
      </c>
      <c r="Z24" s="11" t="str">
        <f t="shared" si="10"/>
        <v>SURESH IYER</v>
      </c>
      <c r="AA24" s="11">
        <f t="shared" si="11"/>
        <v>11</v>
      </c>
      <c r="AB24" s="11" t="str">
        <f t="shared" si="12"/>
        <v>Suresh Iyer|Cardiology</v>
      </c>
    </row>
    <row r="25" spans="1:28" x14ac:dyDescent="0.3">
      <c r="A25" s="3" t="s">
        <v>115</v>
      </c>
      <c r="B25" s="3" t="s">
        <v>116</v>
      </c>
      <c r="C25" s="3">
        <v>49</v>
      </c>
      <c r="D25" s="3" t="s">
        <v>28</v>
      </c>
      <c r="E25" s="3" t="s">
        <v>58</v>
      </c>
      <c r="F25" s="3" t="s">
        <v>38</v>
      </c>
      <c r="G25" s="3" t="s">
        <v>39</v>
      </c>
      <c r="H25" s="3" t="s">
        <v>117</v>
      </c>
      <c r="I25" s="3" t="s">
        <v>118</v>
      </c>
      <c r="J25" s="3" t="s">
        <v>34</v>
      </c>
      <c r="K25" s="3">
        <v>98000</v>
      </c>
      <c r="L25" s="3">
        <v>72000</v>
      </c>
      <c r="M25" s="3" t="s">
        <v>24</v>
      </c>
      <c r="N25" s="3" t="s">
        <v>25</v>
      </c>
      <c r="O25" s="3">
        <v>4.5</v>
      </c>
      <c r="P25" s="2">
        <f t="shared" si="0"/>
        <v>-26000</v>
      </c>
      <c r="Q25" s="2">
        <f t="shared" si="1"/>
        <v>8</v>
      </c>
      <c r="R25" s="11">
        <f t="shared" si="2"/>
        <v>12250</v>
      </c>
      <c r="S25" s="11" t="str">
        <f t="shared" si="3"/>
        <v>Middle</v>
      </c>
      <c r="T25" s="11" t="str">
        <f t="shared" si="4"/>
        <v>Partically Recovered</v>
      </c>
      <c r="U25" s="11" t="str">
        <f t="shared" si="5"/>
        <v>Excellent</v>
      </c>
      <c r="V25" s="11" t="str">
        <f t="shared" si="6"/>
        <v>High Cost</v>
      </c>
      <c r="W25" s="11">
        <f t="shared" si="7"/>
        <v>3</v>
      </c>
      <c r="X25" s="11">
        <f t="shared" si="8"/>
        <v>2024</v>
      </c>
      <c r="Y25" s="11" t="str">
        <f t="shared" si="9"/>
        <v>08-Mar-2024</v>
      </c>
      <c r="Z25" s="11" t="str">
        <f t="shared" si="10"/>
        <v>REKHA PILLAI</v>
      </c>
      <c r="AA25" s="11">
        <f t="shared" si="11"/>
        <v>12</v>
      </c>
      <c r="AB25" s="11" t="str">
        <f t="shared" si="12"/>
        <v>Rekha Pillai|Neurology</v>
      </c>
    </row>
    <row r="26" spans="1:28" x14ac:dyDescent="0.3">
      <c r="A26" s="2" t="s">
        <v>119</v>
      </c>
      <c r="B26" s="2" t="s">
        <v>120</v>
      </c>
      <c r="C26" s="2">
        <v>55</v>
      </c>
      <c r="D26" s="2" t="s">
        <v>17</v>
      </c>
      <c r="E26" s="2" t="s">
        <v>44</v>
      </c>
      <c r="F26" s="2" t="s">
        <v>49</v>
      </c>
      <c r="G26" s="2" t="s">
        <v>50</v>
      </c>
      <c r="H26" s="2" t="s">
        <v>121</v>
      </c>
      <c r="I26" s="2" t="s">
        <v>122</v>
      </c>
      <c r="J26" s="2" t="s">
        <v>23</v>
      </c>
      <c r="K26" s="2">
        <v>340000</v>
      </c>
      <c r="L26" s="2">
        <v>255000</v>
      </c>
      <c r="M26" s="2" t="s">
        <v>25</v>
      </c>
      <c r="N26" s="2" t="s">
        <v>24</v>
      </c>
      <c r="O26" s="2">
        <v>3.7</v>
      </c>
      <c r="P26" s="2">
        <f t="shared" si="0"/>
        <v>-85000</v>
      </c>
      <c r="Q26" s="2">
        <f t="shared" si="1"/>
        <v>15</v>
      </c>
      <c r="R26" s="11">
        <f t="shared" si="2"/>
        <v>22666.666666666668</v>
      </c>
      <c r="S26" s="11" t="str">
        <f t="shared" si="3"/>
        <v>Senior</v>
      </c>
      <c r="T26" s="11" t="str">
        <f t="shared" si="4"/>
        <v>Not recovered</v>
      </c>
      <c r="U26" s="11" t="str">
        <f t="shared" si="5"/>
        <v>Average</v>
      </c>
      <c r="V26" s="11" t="str">
        <f t="shared" si="6"/>
        <v>High Cost</v>
      </c>
      <c r="W26" s="11">
        <f t="shared" si="7"/>
        <v>3</v>
      </c>
      <c r="X26" s="11">
        <f t="shared" si="8"/>
        <v>2024</v>
      </c>
      <c r="Y26" s="11" t="str">
        <f t="shared" si="9"/>
        <v>10-Mar-2024</v>
      </c>
      <c r="Z26" s="11" t="str">
        <f t="shared" si="10"/>
        <v>VIJAY DAS</v>
      </c>
      <c r="AA26" s="11">
        <f t="shared" si="11"/>
        <v>9</v>
      </c>
      <c r="AB26" s="11" t="str">
        <f t="shared" si="12"/>
        <v>Vijay Das|Oncology</v>
      </c>
    </row>
    <row r="36" spans="5:19" ht="15" thickBot="1" x14ac:dyDescent="0.35">
      <c r="Q36" s="36" t="s">
        <v>211</v>
      </c>
      <c r="R36" s="36"/>
      <c r="S36" s="36"/>
    </row>
    <row r="37" spans="5:19" x14ac:dyDescent="0.3">
      <c r="E37" s="29" t="s">
        <v>207</v>
      </c>
      <c r="F37" s="30"/>
      <c r="L37" s="12" t="s">
        <v>191</v>
      </c>
      <c r="M37" s="12">
        <f>SUM(K2:K26)</f>
        <v>3536000</v>
      </c>
      <c r="Q37" s="36"/>
      <c r="R37" s="36"/>
      <c r="S37" s="36"/>
    </row>
    <row r="38" spans="5:19" ht="15" thickBot="1" x14ac:dyDescent="0.35">
      <c r="E38" s="31"/>
      <c r="F38" s="32"/>
      <c r="H38" s="18" t="s">
        <v>196</v>
      </c>
      <c r="I38" s="18">
        <f>SUMIFS(P2:P26,J2:J26,"Chronic",D2:D26,"Female")</f>
        <v>-80000</v>
      </c>
    </row>
    <row r="40" spans="5:19" x14ac:dyDescent="0.3">
      <c r="E40" s="18" t="s">
        <v>205</v>
      </c>
      <c r="F40" s="18">
        <f>SUBTOTAL(9,K2:K26)</f>
        <v>3536000</v>
      </c>
      <c r="L40" s="13" t="s">
        <v>192</v>
      </c>
      <c r="M40" s="13">
        <f>AVERAGE(K2:K26)</f>
        <v>141440</v>
      </c>
      <c r="Q40" s="37" t="s">
        <v>212</v>
      </c>
      <c r="R40" s="37" t="str">
        <f>VLOOKUP(A7,A2:V26,5,)</f>
        <v>B-</v>
      </c>
    </row>
    <row r="41" spans="5:19" x14ac:dyDescent="0.3">
      <c r="H41" s="19" t="s">
        <v>197</v>
      </c>
      <c r="I41" s="19">
        <f>MAX(K2:K26)</f>
        <v>340000</v>
      </c>
    </row>
    <row r="43" spans="5:19" x14ac:dyDescent="0.3">
      <c r="E43" s="22" t="s">
        <v>206</v>
      </c>
      <c r="F43" s="33">
        <f>SUBTOTAL(1,O2:O26)</f>
        <v>4.1720000000000006</v>
      </c>
      <c r="H43" s="20" t="s">
        <v>198</v>
      </c>
      <c r="I43" s="20">
        <f>MIN(K2:K26)</f>
        <v>33000</v>
      </c>
      <c r="Q43" s="37" t="s">
        <v>213</v>
      </c>
      <c r="R43" s="37" t="str">
        <f>_xlfn.XLOOKUP(F5,F2:F26,G2:G26)</f>
        <v>Dr. Mehta</v>
      </c>
    </row>
    <row r="44" spans="5:19" x14ac:dyDescent="0.3">
      <c r="L44" s="14" t="s">
        <v>193</v>
      </c>
      <c r="M44" s="14">
        <f>COUNTIF(M2:M26,"Yes")</f>
        <v>18</v>
      </c>
    </row>
    <row r="46" spans="5:19" x14ac:dyDescent="0.3">
      <c r="E46" s="23" t="s">
        <v>208</v>
      </c>
      <c r="F46" s="23">
        <f>SUBTOTAL(103,A2:A26)</f>
        <v>25</v>
      </c>
      <c r="H46" s="21" t="s">
        <v>199</v>
      </c>
      <c r="I46" s="21">
        <f>_xlfn.MAXIFS(K2:K26,F2:F26,"Cardiology")</f>
        <v>195000</v>
      </c>
    </row>
    <row r="47" spans="5:19" x14ac:dyDescent="0.3">
      <c r="Q47" s="38" t="str">
        <f>_xlfn.XLOOKUP(MAX(K2:K26),K2:K26,F2:F26,)</f>
        <v>Oncology</v>
      </c>
      <c r="R47" s="38" t="s">
        <v>213</v>
      </c>
    </row>
    <row r="48" spans="5:19" x14ac:dyDescent="0.3">
      <c r="L48" s="15" t="s">
        <v>194</v>
      </c>
      <c r="M48" s="15">
        <f>COUNTIFS(D2:D26,"Female",F2:F26,"Cardiology")</f>
        <v>4</v>
      </c>
    </row>
    <row r="49" spans="5:13" x14ac:dyDescent="0.3">
      <c r="E49" s="34" t="s">
        <v>209</v>
      </c>
      <c r="F49" s="34">
        <f>_xlfn.AGGREGATE(9,5,P2:P26)</f>
        <v>-959000</v>
      </c>
      <c r="H49" s="22" t="s">
        <v>200</v>
      </c>
      <c r="I49" s="22">
        <f>_xlfn.MINIFS(K2:K26,M2:M26,"Yes")</f>
        <v>33000</v>
      </c>
    </row>
    <row r="51" spans="5:13" x14ac:dyDescent="0.3">
      <c r="L51" s="16" t="s">
        <v>195</v>
      </c>
      <c r="M51" s="16">
        <f>SUMIF(F2:F26,"Oncology",K2:K26)</f>
        <v>1785000</v>
      </c>
    </row>
    <row r="52" spans="5:13" x14ac:dyDescent="0.3">
      <c r="E52" s="28" t="s">
        <v>210</v>
      </c>
      <c r="F52" s="35">
        <f>_xlfn.AGGREGATE(1,5,R2:R26)</f>
        <v>14095.168916051271</v>
      </c>
      <c r="H52" s="24" t="s">
        <v>201</v>
      </c>
      <c r="I52" s="24">
        <f>MEDIAN(K2:K26)</f>
        <v>98000</v>
      </c>
    </row>
    <row r="56" spans="5:13" x14ac:dyDescent="0.3">
      <c r="H56" s="26" t="s">
        <v>202</v>
      </c>
      <c r="I56" s="27">
        <f>_xlfn.STDEV.S(K2:K26)</f>
        <v>100751.79072023154</v>
      </c>
    </row>
    <row r="59" spans="5:13" x14ac:dyDescent="0.3">
      <c r="H59" s="15" t="s">
        <v>203</v>
      </c>
      <c r="I59" s="15">
        <f>_xlfn.QUARTILE.EXC(K2:K26,1)</f>
        <v>57000</v>
      </c>
    </row>
    <row r="62" spans="5:13" x14ac:dyDescent="0.3">
      <c r="H62" s="28" t="s">
        <v>204</v>
      </c>
      <c r="I62" s="28">
        <f>_xlfn.QUARTILE.EXC(K2:K26,3)</f>
        <v>222500</v>
      </c>
    </row>
  </sheetData>
  <autoFilter ref="B1:V26" xr:uid="{00000000-0001-0000-0000-000000000000}"/>
  <mergeCells count="2">
    <mergeCell ref="E37:F38"/>
    <mergeCell ref="Q36:S37"/>
  </mergeCells>
  <conditionalFormatting sqref="K2:K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6" priority="8" operator="greaterThan">
      <formula>200000</formula>
    </cfRule>
    <cfRule type="top10" dxfId="7" priority="6" rank="5"/>
  </conditionalFormatting>
  <conditionalFormatting sqref="O2:O26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{BB9DCF5A-B671-4CDC-A2F2-823938D44445}</x14:id>
        </ext>
      </extLs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N3:N26">
    <cfRule type="colorScale" priority="5">
      <colorScale>
        <cfvo type="min"/>
        <cfvo type="max"/>
        <color rgb="FFFF7128"/>
        <color rgb="FFFFEF9C"/>
      </colorScale>
    </cfRule>
    <cfRule type="colorScale" priority="4">
      <colorScale>
        <cfvo type="min"/>
        <cfvo type="max"/>
        <color rgb="FFFF7128"/>
        <color rgb="FFFFEF9C"/>
      </colorScale>
    </cfRule>
    <cfRule type="expression" priority="3">
      <formula>$N2="Yes"</formula>
    </cfRule>
    <cfRule type="expression" dxfId="5" priority="2">
      <formula>$N2="Yes"</formula>
    </cfRule>
    <cfRule type="expression" dxfId="4" priority="1">
      <formula>N2="Yes"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9DCF5A-B671-4CDC-A2F2-823938D444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O2:O26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workbookViewId="0">
      <pane ySplit="2" topLeftCell="A46" activePane="bottomLeft" state="frozen"/>
      <selection pane="bottomLeft" activeCell="A53" sqref="A53"/>
    </sheetView>
  </sheetViews>
  <sheetFormatPr defaultRowHeight="14.4" x14ac:dyDescent="0.3"/>
  <cols>
    <col min="1" max="1" width="70" customWidth="1"/>
    <col min="2" max="2" width="10" customWidth="1"/>
  </cols>
  <sheetData>
    <row r="1" spans="1:3" ht="30" customHeight="1" x14ac:dyDescent="0.3">
      <c r="A1" s="9" t="s">
        <v>123</v>
      </c>
      <c r="B1" s="8"/>
      <c r="C1" s="8"/>
    </row>
    <row r="2" spans="1:3" ht="18" customHeight="1" x14ac:dyDescent="0.3">
      <c r="A2" s="10" t="s">
        <v>124</v>
      </c>
      <c r="B2" s="8"/>
      <c r="C2" s="8"/>
    </row>
    <row r="3" spans="1:3" ht="22.05" customHeight="1" x14ac:dyDescent="0.3">
      <c r="A3" s="7" t="s">
        <v>125</v>
      </c>
      <c r="B3" s="8"/>
      <c r="C3" s="8"/>
    </row>
    <row r="4" spans="1:3" ht="22.05" customHeight="1" x14ac:dyDescent="0.3">
      <c r="A4" s="4" t="s">
        <v>126</v>
      </c>
      <c r="B4" s="5" t="s">
        <v>127</v>
      </c>
    </row>
    <row r="5" spans="1:3" ht="22.05" customHeight="1" x14ac:dyDescent="0.3">
      <c r="A5" s="6" t="s">
        <v>128</v>
      </c>
      <c r="B5" s="5" t="s">
        <v>127</v>
      </c>
    </row>
    <row r="6" spans="1:3" ht="22.05" customHeight="1" x14ac:dyDescent="0.3">
      <c r="A6" s="4" t="s">
        <v>129</v>
      </c>
      <c r="B6" s="5" t="s">
        <v>127</v>
      </c>
    </row>
    <row r="7" spans="1:3" ht="22.05" customHeight="1" x14ac:dyDescent="0.3">
      <c r="A7" s="6" t="s">
        <v>130</v>
      </c>
      <c r="B7" s="5" t="s">
        <v>127</v>
      </c>
    </row>
    <row r="8" spans="1:3" ht="31.95" customHeight="1" x14ac:dyDescent="0.3">
      <c r="A8" s="4" t="s">
        <v>131</v>
      </c>
      <c r="B8" s="5" t="s">
        <v>127</v>
      </c>
    </row>
    <row r="9" spans="1:3" ht="64.05" customHeight="1" x14ac:dyDescent="0.3">
      <c r="A9" s="6" t="s">
        <v>132</v>
      </c>
      <c r="B9" s="5" t="s">
        <v>127</v>
      </c>
    </row>
    <row r="10" spans="1:3" ht="31.95" customHeight="1" x14ac:dyDescent="0.3">
      <c r="A10" s="4" t="s">
        <v>133</v>
      </c>
      <c r="B10" s="5" t="s">
        <v>127</v>
      </c>
    </row>
    <row r="11" spans="1:3" ht="31.95" customHeight="1" x14ac:dyDescent="0.3">
      <c r="A11" s="6" t="s">
        <v>134</v>
      </c>
      <c r="B11" s="5" t="s">
        <v>127</v>
      </c>
    </row>
    <row r="12" spans="1:3" ht="22.05" customHeight="1" x14ac:dyDescent="0.3">
      <c r="A12" s="7" t="s">
        <v>135</v>
      </c>
      <c r="B12" s="8"/>
      <c r="C12" s="8"/>
    </row>
    <row r="13" spans="1:3" ht="22.05" customHeight="1" x14ac:dyDescent="0.3">
      <c r="A13" s="6" t="s">
        <v>136</v>
      </c>
      <c r="B13" s="5" t="s">
        <v>127</v>
      </c>
    </row>
    <row r="14" spans="1:3" ht="22.05" customHeight="1" x14ac:dyDescent="0.3">
      <c r="A14" s="4" t="s">
        <v>137</v>
      </c>
      <c r="B14" s="5" t="s">
        <v>127</v>
      </c>
    </row>
    <row r="15" spans="1:3" ht="22.05" customHeight="1" x14ac:dyDescent="0.3">
      <c r="A15" s="6" t="s">
        <v>138</v>
      </c>
      <c r="B15" s="5" t="s">
        <v>127</v>
      </c>
    </row>
    <row r="16" spans="1:3" ht="22.05" customHeight="1" x14ac:dyDescent="0.3">
      <c r="A16" s="4" t="s">
        <v>139</v>
      </c>
      <c r="B16" s="5" t="s">
        <v>127</v>
      </c>
    </row>
    <row r="17" spans="1:3" ht="22.05" customHeight="1" x14ac:dyDescent="0.3">
      <c r="A17" s="6" t="s">
        <v>140</v>
      </c>
      <c r="B17" s="5" t="s">
        <v>127</v>
      </c>
    </row>
    <row r="18" spans="1:3" ht="22.05" customHeight="1" x14ac:dyDescent="0.3">
      <c r="A18" s="17" t="s">
        <v>141</v>
      </c>
      <c r="B18" s="5" t="s">
        <v>127</v>
      </c>
    </row>
    <row r="19" spans="1:3" ht="22.05" customHeight="1" x14ac:dyDescent="0.3">
      <c r="A19" s="6" t="s">
        <v>142</v>
      </c>
      <c r="B19" s="5" t="s">
        <v>127</v>
      </c>
    </row>
    <row r="20" spans="1:3" ht="22.05" customHeight="1" x14ac:dyDescent="0.3">
      <c r="A20" s="4" t="s">
        <v>143</v>
      </c>
      <c r="B20" s="5" t="s">
        <v>127</v>
      </c>
    </row>
    <row r="21" spans="1:3" ht="22.05" customHeight="1" x14ac:dyDescent="0.3">
      <c r="A21" s="6" t="s">
        <v>144</v>
      </c>
      <c r="B21" s="5" t="s">
        <v>127</v>
      </c>
    </row>
    <row r="22" spans="1:3" ht="22.05" customHeight="1" x14ac:dyDescent="0.3">
      <c r="A22" s="4" t="s">
        <v>145</v>
      </c>
      <c r="B22" s="5" t="s">
        <v>127</v>
      </c>
    </row>
    <row r="23" spans="1:3" ht="22.05" customHeight="1" x14ac:dyDescent="0.3">
      <c r="A23" s="6" t="s">
        <v>146</v>
      </c>
      <c r="B23" s="5" t="s">
        <v>127</v>
      </c>
    </row>
    <row r="24" spans="1:3" ht="22.05" customHeight="1" x14ac:dyDescent="0.3">
      <c r="A24" s="4" t="s">
        <v>147</v>
      </c>
      <c r="B24" s="5" t="s">
        <v>127</v>
      </c>
    </row>
    <row r="25" spans="1:3" ht="22.05" customHeight="1" x14ac:dyDescent="0.3">
      <c r="A25" s="7" t="s">
        <v>148</v>
      </c>
      <c r="B25" s="8"/>
      <c r="C25" s="8"/>
    </row>
    <row r="26" spans="1:3" ht="31.95" customHeight="1" x14ac:dyDescent="0.3">
      <c r="A26" s="4" t="s">
        <v>149</v>
      </c>
      <c r="B26" s="5" t="s">
        <v>127</v>
      </c>
    </row>
    <row r="27" spans="1:3" ht="22.05" customHeight="1" x14ac:dyDescent="0.3">
      <c r="A27" s="6" t="s">
        <v>150</v>
      </c>
      <c r="B27" s="5" t="s">
        <v>127</v>
      </c>
    </row>
    <row r="28" spans="1:3" ht="22.05" customHeight="1" x14ac:dyDescent="0.3">
      <c r="A28" s="17" t="s">
        <v>151</v>
      </c>
      <c r="B28" s="5" t="s">
        <v>127</v>
      </c>
    </row>
    <row r="29" spans="1:3" ht="22.05" customHeight="1" x14ac:dyDescent="0.3">
      <c r="A29" s="6" t="s">
        <v>152</v>
      </c>
      <c r="B29" s="5" t="s">
        <v>127</v>
      </c>
    </row>
    <row r="30" spans="1:3" ht="22.05" customHeight="1" x14ac:dyDescent="0.3">
      <c r="A30" s="4" t="s">
        <v>153</v>
      </c>
      <c r="B30" s="5" t="s">
        <v>127</v>
      </c>
    </row>
    <row r="31" spans="1:3" ht="22.05" customHeight="1" x14ac:dyDescent="0.3">
      <c r="A31" s="7" t="s">
        <v>154</v>
      </c>
      <c r="B31" s="8"/>
      <c r="C31" s="8"/>
    </row>
    <row r="32" spans="1:3" ht="22.05" customHeight="1" x14ac:dyDescent="0.3">
      <c r="A32" s="4" t="s">
        <v>155</v>
      </c>
      <c r="B32" s="5" t="s">
        <v>127</v>
      </c>
    </row>
    <row r="33" spans="1:3" ht="22.05" customHeight="1" x14ac:dyDescent="0.3">
      <c r="A33" s="6" t="s">
        <v>156</v>
      </c>
      <c r="B33" s="5" t="s">
        <v>127</v>
      </c>
    </row>
    <row r="34" spans="1:3" ht="31.95" customHeight="1" x14ac:dyDescent="0.3">
      <c r="A34" s="17" t="s">
        <v>157</v>
      </c>
      <c r="B34" s="5" t="s">
        <v>127</v>
      </c>
    </row>
    <row r="35" spans="1:3" ht="22.05" customHeight="1" x14ac:dyDescent="0.3">
      <c r="A35" s="7" t="s">
        <v>158</v>
      </c>
      <c r="B35" s="8"/>
      <c r="C35" s="8"/>
    </row>
    <row r="36" spans="1:3" ht="22.05" customHeight="1" x14ac:dyDescent="0.3">
      <c r="A36" s="4" t="s">
        <v>159</v>
      </c>
      <c r="B36" s="5" t="s">
        <v>127</v>
      </c>
    </row>
    <row r="37" spans="1:3" ht="22.05" customHeight="1" x14ac:dyDescent="0.3">
      <c r="A37" s="6" t="s">
        <v>160</v>
      </c>
      <c r="B37" s="5" t="s">
        <v>127</v>
      </c>
    </row>
    <row r="38" spans="1:3" ht="22.05" customHeight="1" x14ac:dyDescent="0.3">
      <c r="A38" s="4" t="s">
        <v>161</v>
      </c>
      <c r="B38" s="5" t="s">
        <v>127</v>
      </c>
    </row>
    <row r="39" spans="1:3" ht="22.05" customHeight="1" x14ac:dyDescent="0.3">
      <c r="A39" s="6" t="s">
        <v>162</v>
      </c>
      <c r="B39" s="5" t="s">
        <v>127</v>
      </c>
    </row>
    <row r="40" spans="1:3" ht="22.05" customHeight="1" x14ac:dyDescent="0.3">
      <c r="A40" s="4" t="s">
        <v>163</v>
      </c>
      <c r="B40" s="5" t="s">
        <v>127</v>
      </c>
    </row>
    <row r="41" spans="1:3" ht="31.95" customHeight="1" x14ac:dyDescent="0.3">
      <c r="A41" s="6" t="s">
        <v>164</v>
      </c>
      <c r="B41" s="5" t="s">
        <v>127</v>
      </c>
    </row>
    <row r="42" spans="1:3" ht="22.05" customHeight="1" x14ac:dyDescent="0.3">
      <c r="A42" s="7" t="s">
        <v>165</v>
      </c>
      <c r="B42" s="8"/>
      <c r="C42" s="8"/>
    </row>
    <row r="43" spans="1:3" ht="22.05" customHeight="1" x14ac:dyDescent="0.3">
      <c r="A43" s="6" t="s">
        <v>166</v>
      </c>
      <c r="B43" s="5" t="s">
        <v>127</v>
      </c>
    </row>
    <row r="44" spans="1:3" ht="22.05" customHeight="1" x14ac:dyDescent="0.3">
      <c r="A44" s="4" t="s">
        <v>167</v>
      </c>
      <c r="B44" s="5" t="s">
        <v>127</v>
      </c>
    </row>
    <row r="45" spans="1:3" ht="22.05" customHeight="1" x14ac:dyDescent="0.3">
      <c r="A45" s="6" t="s">
        <v>168</v>
      </c>
      <c r="B45" s="5" t="s">
        <v>127</v>
      </c>
    </row>
    <row r="46" spans="1:3" ht="22.05" customHeight="1" x14ac:dyDescent="0.3">
      <c r="A46" s="4" t="s">
        <v>169</v>
      </c>
      <c r="B46" s="5" t="s">
        <v>127</v>
      </c>
    </row>
    <row r="47" spans="1:3" ht="22.05" customHeight="1" x14ac:dyDescent="0.3">
      <c r="A47" s="6" t="s">
        <v>170</v>
      </c>
      <c r="B47" s="5" t="s">
        <v>127</v>
      </c>
    </row>
    <row r="48" spans="1:3" ht="31.95" customHeight="1" x14ac:dyDescent="0.3">
      <c r="A48" s="4" t="s">
        <v>171</v>
      </c>
      <c r="B48" s="5" t="s">
        <v>127</v>
      </c>
    </row>
    <row r="49" spans="1:3" ht="22.05" customHeight="1" x14ac:dyDescent="0.3">
      <c r="A49" s="7" t="s">
        <v>172</v>
      </c>
      <c r="B49" s="8"/>
      <c r="C49" s="8"/>
    </row>
    <row r="50" spans="1:3" ht="22.05" customHeight="1" x14ac:dyDescent="0.3">
      <c r="A50" s="4" t="s">
        <v>173</v>
      </c>
      <c r="B50" s="5" t="s">
        <v>127</v>
      </c>
    </row>
    <row r="51" spans="1:3" ht="22.05" customHeight="1" x14ac:dyDescent="0.3">
      <c r="A51" s="6" t="s">
        <v>174</v>
      </c>
      <c r="B51" s="5" t="s">
        <v>127</v>
      </c>
    </row>
    <row r="52" spans="1:3" ht="22.05" customHeight="1" x14ac:dyDescent="0.3">
      <c r="A52" s="17" t="s">
        <v>175</v>
      </c>
      <c r="B52" s="5" t="s">
        <v>127</v>
      </c>
    </row>
    <row r="53" spans="1:3" ht="22.05" customHeight="1" x14ac:dyDescent="0.3">
      <c r="A53" s="43" t="s">
        <v>176</v>
      </c>
      <c r="B53" s="5" t="s">
        <v>127</v>
      </c>
    </row>
    <row r="54" spans="1:3" ht="22.05" customHeight="1" x14ac:dyDescent="0.3">
      <c r="A54" s="4" t="s">
        <v>177</v>
      </c>
      <c r="B54" s="5" t="s">
        <v>127</v>
      </c>
    </row>
    <row r="55" spans="1:3" ht="22.05" customHeight="1" x14ac:dyDescent="0.3">
      <c r="A55" s="6" t="s">
        <v>178</v>
      </c>
      <c r="B55" s="5" t="s">
        <v>127</v>
      </c>
    </row>
    <row r="56" spans="1:3" ht="22.05" customHeight="1" x14ac:dyDescent="0.3">
      <c r="A56" s="7" t="s">
        <v>179</v>
      </c>
      <c r="B56" s="8"/>
      <c r="C56" s="8"/>
    </row>
    <row r="57" spans="1:3" ht="22.05" customHeight="1" x14ac:dyDescent="0.3">
      <c r="A57" s="6" t="s">
        <v>180</v>
      </c>
      <c r="B57" s="5" t="s">
        <v>127</v>
      </c>
    </row>
    <row r="58" spans="1:3" ht="22.05" customHeight="1" x14ac:dyDescent="0.3">
      <c r="A58" s="4" t="s">
        <v>181</v>
      </c>
      <c r="B58" s="5" t="s">
        <v>127</v>
      </c>
    </row>
    <row r="59" spans="1:3" ht="22.05" customHeight="1" x14ac:dyDescent="0.3">
      <c r="A59" s="6" t="s">
        <v>182</v>
      </c>
      <c r="B59" s="5" t="s">
        <v>127</v>
      </c>
    </row>
    <row r="60" spans="1:3" ht="22.05" customHeight="1" x14ac:dyDescent="0.3">
      <c r="A60" s="4" t="s">
        <v>183</v>
      </c>
      <c r="B60" s="5" t="s">
        <v>127</v>
      </c>
    </row>
  </sheetData>
  <mergeCells count="10">
    <mergeCell ref="A56:C56"/>
    <mergeCell ref="A3:C3"/>
    <mergeCell ref="A35:C35"/>
    <mergeCell ref="A12:C12"/>
    <mergeCell ref="A2:C2"/>
    <mergeCell ref="A25:C25"/>
    <mergeCell ref="A42:C42"/>
    <mergeCell ref="A49:C49"/>
    <mergeCell ref="A1:C1"/>
    <mergeCell ref="A31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Patient Records</vt:lpstr>
      <vt:lpstr>📋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 behera</cp:lastModifiedBy>
  <dcterms:created xsi:type="dcterms:W3CDTF">2026-06-01T03:59:36Z</dcterms:created>
  <dcterms:modified xsi:type="dcterms:W3CDTF">2026-06-04T12:26:33Z</dcterms:modified>
</cp:coreProperties>
</file>