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er\Downloads\"/>
    </mc:Choice>
  </mc:AlternateContent>
  <xr:revisionPtr revIDLastSave="0" documentId="8_{86C8D37C-5A63-45E7-893C-844DD1C95481}" xr6:coauthVersionLast="47" xr6:coauthVersionMax="47" xr10:uidLastSave="{00000000-0000-0000-0000-000000000000}"/>
  <bookViews>
    <workbookView xWindow="-108" yWindow="-108" windowWidth="23256" windowHeight="13896" xr2:uid="{7E23EF2B-47F9-4AAE-9BCD-AEA2F68141F1}"/>
  </bookViews>
  <sheets>
    <sheet name="Count of mobile brand" sheetId="2" r:id="rId1"/>
    <sheet name="Sheet1" sheetId="1" r:id="rId2"/>
  </sheets>
  <definedNames>
    <definedName name="_xlchart.v1.0" hidden="1">Sheet1!$J$24</definedName>
    <definedName name="_xlchart.v1.1" hidden="1">Sheet1!$J$24</definedName>
    <definedName name="_xlchart.v1.2" hidden="1">Sheet1!$J$24</definedName>
    <definedName name="_xlchart.v1.3" hidden="1">Sheet1!$J$24</definedName>
    <definedName name="_xlchart.v1.4" hidden="1">Sheet1!$J$24</definedName>
    <definedName name="_xlchart.v1.5" hidden="1">Sheet1!$J$24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" l="1"/>
  <c r="L32" i="1"/>
  <c r="N23" i="1"/>
  <c r="L20" i="1"/>
  <c r="F21" i="1"/>
  <c r="E15" i="1"/>
  <c r="F13" i="1"/>
  <c r="U3" i="1"/>
  <c r="U4" i="1"/>
  <c r="U5" i="1"/>
  <c r="U6" i="1"/>
  <c r="U7" i="1"/>
  <c r="U8" i="1"/>
  <c r="U9" i="1"/>
  <c r="U10" i="1"/>
  <c r="U11" i="1"/>
  <c r="U2" i="1"/>
  <c r="T2" i="1"/>
  <c r="T3" i="1"/>
  <c r="T4" i="1"/>
  <c r="T5" i="1"/>
  <c r="T6" i="1"/>
  <c r="T7" i="1"/>
  <c r="T8" i="1"/>
  <c r="T9" i="1"/>
  <c r="T10" i="1"/>
  <c r="T11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M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<sst xmlns="http://schemas.openxmlformats.org/spreadsheetml/2006/main" count="84" uniqueCount="58">
  <si>
    <t>Order Id</t>
  </si>
  <si>
    <t>Customer</t>
  </si>
  <si>
    <t>Mobile Brand</t>
  </si>
  <si>
    <t>Model</t>
  </si>
  <si>
    <t>Quantity</t>
  </si>
  <si>
    <t>Price</t>
  </si>
  <si>
    <t>City</t>
  </si>
  <si>
    <t>Payment Status</t>
  </si>
  <si>
    <t>Rating</t>
  </si>
  <si>
    <t>Rahul</t>
  </si>
  <si>
    <t>Anjali</t>
  </si>
  <si>
    <t>Karan</t>
  </si>
  <si>
    <t>Pooja</t>
  </si>
  <si>
    <t>Sameer</t>
  </si>
  <si>
    <t>Neha</t>
  </si>
  <si>
    <t>Amit</t>
  </si>
  <si>
    <t>Sita</t>
  </si>
  <si>
    <t>Rohan</t>
  </si>
  <si>
    <t>Meena</t>
  </si>
  <si>
    <t>Samsung</t>
  </si>
  <si>
    <t>Vivo</t>
  </si>
  <si>
    <t>Redmi</t>
  </si>
  <si>
    <t>Realme</t>
  </si>
  <si>
    <t>Galaxy M14</t>
  </si>
  <si>
    <t>Vivo Y21</t>
  </si>
  <si>
    <t>Redmi Note 12</t>
  </si>
  <si>
    <t>Realme Narzo</t>
  </si>
  <si>
    <t xml:space="preserve"> Galaxy A14</t>
  </si>
  <si>
    <t>Vivo T2</t>
  </si>
  <si>
    <t>Redme 12C</t>
  </si>
  <si>
    <t>Realme C55</t>
  </si>
  <si>
    <t>Galaxy F14</t>
  </si>
  <si>
    <t>Vivo Y16</t>
  </si>
  <si>
    <t>Delhi</t>
  </si>
  <si>
    <t>Mumbai</t>
  </si>
  <si>
    <t>Chennai</t>
  </si>
  <si>
    <t>Hyderbad</t>
  </si>
  <si>
    <t>Paid</t>
  </si>
  <si>
    <t>Unpaid</t>
  </si>
  <si>
    <t>Total Amount</t>
  </si>
  <si>
    <t>GST Amount</t>
  </si>
  <si>
    <t>Final Amount</t>
  </si>
  <si>
    <t>Delivery fee</t>
  </si>
  <si>
    <t>Final Amount After Delivery fee</t>
  </si>
  <si>
    <t xml:space="preserve"> Payment Status </t>
  </si>
  <si>
    <t xml:space="preserve">  Customer Type</t>
  </si>
  <si>
    <t xml:space="preserve"> Order Type</t>
  </si>
  <si>
    <t>Priority Order</t>
  </si>
  <si>
    <t>Discount Eligibility</t>
  </si>
  <si>
    <t>Customer Info</t>
  </si>
  <si>
    <t>Average of price column</t>
  </si>
  <si>
    <t>Total Quantity</t>
  </si>
  <si>
    <t>Samusung Orders</t>
  </si>
  <si>
    <t>Count Paid Orders</t>
  </si>
  <si>
    <t>Count Mumbai Customer</t>
  </si>
  <si>
    <t xml:space="preserve">Count Rating 5 </t>
  </si>
  <si>
    <t>Count Orders  where Quantity more than 2</t>
  </si>
  <si>
    <t>Count of Mobile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</si>
</sst>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 [$₹-439]* #,##0_ ;_ [$₹-439]* \-#,##0_ ;_ [$₹-439]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69" fontId="2" fillId="2" borderId="1" xfId="1" applyNumberFormat="1" applyFont="1" applyFill="1" applyBorder="1"/>
    <xf numFmtId="169" fontId="0" fillId="0" borderId="1" xfId="1" applyNumberFormat="1" applyFont="1" applyBorder="1"/>
    <xf numFmtId="169" fontId="0" fillId="0" borderId="0" xfId="1" applyNumberFormat="1" applyFont="1"/>
    <xf numFmtId="169" fontId="0" fillId="3" borderId="1" xfId="0" applyNumberFormat="1" applyFill="1" applyBorder="1"/>
    <xf numFmtId="0" fontId="2" fillId="4" borderId="1" xfId="0" applyFont="1" applyFill="1" applyBorder="1"/>
    <xf numFmtId="169" fontId="2" fillId="4" borderId="1" xfId="1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" fontId="2" fillId="6" borderId="1" xfId="1" applyNumberFormat="1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 practce.xlsx]Count of mobile brand!PivotTable5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Mobile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mobile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mobile brand'!$A$4:$A$7</c:f>
              <c:strCache>
                <c:ptCount val="4"/>
                <c:pt idx="0">
                  <c:v>Realme</c:v>
                </c:pt>
                <c:pt idx="1">
                  <c:v>Redmi</c:v>
                </c:pt>
                <c:pt idx="2">
                  <c:v>Samsung</c:v>
                </c:pt>
                <c:pt idx="3">
                  <c:v>Vivo</c:v>
                </c:pt>
              </c:strCache>
            </c:strRef>
          </c:cat>
          <c:val>
            <c:numRef>
              <c:f>'Count of mobile brand'!$B$4:$B$7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D-4059-A7AD-DF51A5C17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776255"/>
        <c:axId val="1127781055"/>
      </c:barChart>
      <c:catAx>
        <c:axId val="11277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81055"/>
        <c:crosses val="autoZero"/>
        <c:auto val="1"/>
        <c:lblAlgn val="ctr"/>
        <c:lblOffset val="100"/>
        <c:noMultiLvlLbl val="0"/>
      </c:catAx>
      <c:valAx>
        <c:axId val="112778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7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8</xdr:row>
      <xdr:rowOff>133350</xdr:rowOff>
    </xdr:from>
    <xdr:to>
      <xdr:col>16</xdr:col>
      <xdr:colOff>495300</xdr:colOff>
      <xdr:row>33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5D00C-34E7-4D66-E906-16565CF02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al behera" refreshedDate="46161.801042708335" createdVersion="8" refreshedVersion="8" minRefreshableVersion="3" recordCount="10" xr:uid="{D67CB217-FDC0-4829-ABF7-DDD61916CC45}">
  <cacheSource type="worksheet">
    <worksheetSource ref="A1:U11" sheet="Sheet1"/>
  </cacheSource>
  <cacheFields count="21">
    <cacheField name="Order Id" numFmtId="0">
      <sharedItems containsSemiMixedTypes="0" containsString="0" containsNumber="1" containsInteger="1" minValue="101" maxValue="110"/>
    </cacheField>
    <cacheField name="Customer" numFmtId="0">
      <sharedItems/>
    </cacheField>
    <cacheField name="Mobile Brand" numFmtId="0">
      <sharedItems count="4">
        <s v="Samsung"/>
        <s v="Vivo"/>
        <s v="Redmi"/>
        <s v="Realme"/>
      </sharedItems>
    </cacheField>
    <cacheField name="Model" numFmtId="0">
      <sharedItems/>
    </cacheField>
    <cacheField name="Quantity" numFmtId="0">
      <sharedItems containsSemiMixedTypes="0" containsString="0" containsNumber="1" containsInteger="1" minValue="1" maxValue="4"/>
    </cacheField>
    <cacheField name="Price" numFmtId="169">
      <sharedItems containsSemiMixedTypes="0" containsString="0" containsNumber="1" containsInteger="1" minValue="9000" maxValue="17000"/>
    </cacheField>
    <cacheField name="City" numFmtId="0">
      <sharedItems/>
    </cacheField>
    <cacheField name="Payment Status" numFmtId="0">
      <sharedItems/>
    </cacheField>
    <cacheField name="Rating" numFmtId="0">
      <sharedItems containsSemiMixedTypes="0" containsString="0" containsNumber="1" containsInteger="1" minValue="2" maxValue="5"/>
    </cacheField>
    <cacheField name="Total Amount" numFmtId="169">
      <sharedItems containsSemiMixedTypes="0" containsString="0" containsNumber="1" containsInteger="1" minValue="14000" maxValue="64000"/>
    </cacheField>
    <cacheField name="GST Amount" numFmtId="169">
      <sharedItems containsSemiMixedTypes="0" containsString="0" containsNumber="1" containsInteger="1" minValue="2520" maxValue="11520"/>
    </cacheField>
    <cacheField name="Final Amount" numFmtId="169">
      <sharedItems containsSemiMixedTypes="0" containsString="0" containsNumber="1" containsInteger="1" minValue="16520" maxValue="75520"/>
    </cacheField>
    <cacheField name="Delivery fee" numFmtId="169">
      <sharedItems containsSemiMixedTypes="0" containsString="0" containsNumber="1" containsInteger="1" minValue="100" maxValue="200"/>
    </cacheField>
    <cacheField name="Final Amount After Delivery fee" numFmtId="169">
      <sharedItems containsSemiMixedTypes="0" containsString="0" containsNumber="1" containsInteger="1" minValue="16620" maxValue="75720"/>
    </cacheField>
    <cacheField name=" Payment Status " numFmtId="169">
      <sharedItems/>
    </cacheField>
    <cacheField name="  Customer Type" numFmtId="169">
      <sharedItems/>
    </cacheField>
    <cacheField name=" Order Type" numFmtId="169">
      <sharedItems/>
    </cacheField>
    <cacheField name="Priority Order" numFmtId="169">
      <sharedItems/>
    </cacheField>
    <cacheField name="Discount Eligibility" numFmtId="169">
      <sharedItems/>
    </cacheField>
    <cacheField name="Discount Eligibility2" numFmtId="169">
      <sharedItems/>
    </cacheField>
    <cacheField name="Customer Info" numFmtId="16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Rahul"/>
    <x v="0"/>
    <s v="Galaxy M14"/>
    <n v="2"/>
    <n v="13000"/>
    <s v="Delhi"/>
    <s v="Paid"/>
    <n v="4"/>
    <n v="26000"/>
    <n v="4680"/>
    <n v="30680"/>
    <n v="100"/>
    <n v="30780"/>
    <s v="Completed"/>
    <s v="Good"/>
    <s v="Small Order"/>
    <s v="Priority"/>
    <s v="Yes"/>
    <s v="No"/>
    <s v="Rahul--Delhi"/>
  </r>
  <r>
    <n v="102"/>
    <s v="Anjali"/>
    <x v="1"/>
    <s v="Vivo Y21"/>
    <n v="1"/>
    <n v="15000"/>
    <s v="Mumbai"/>
    <s v="Unpaid"/>
    <n v="3"/>
    <n v="15000"/>
    <n v="2700"/>
    <n v="17700"/>
    <n v="200"/>
    <n v="17900"/>
    <s v="Not Completed"/>
    <s v="Average"/>
    <s v="Small Order"/>
    <s v="Normal"/>
    <s v="No"/>
    <s v="No"/>
    <s v="Anjali--Mumbai"/>
  </r>
  <r>
    <n v="103"/>
    <s v="Karan"/>
    <x v="2"/>
    <s v="Redmi Note 12"/>
    <n v="3"/>
    <n v="12000"/>
    <s v="Chennai"/>
    <s v="Paid"/>
    <n v="5"/>
    <n v="36000"/>
    <n v="6480"/>
    <n v="42480"/>
    <n v="200"/>
    <n v="42680"/>
    <s v="Completed"/>
    <s v="Excellent"/>
    <s v="Big Order"/>
    <s v="Normal"/>
    <s v="Yes"/>
    <s v="No"/>
    <s v="Karan--Chennai"/>
  </r>
  <r>
    <n v="104"/>
    <s v="Pooja"/>
    <x v="3"/>
    <s v="Realme Narzo"/>
    <n v="2"/>
    <n v="11000"/>
    <s v="Delhi"/>
    <s v="Paid"/>
    <n v="4"/>
    <n v="22000"/>
    <n v="3960"/>
    <n v="25960"/>
    <n v="100"/>
    <n v="26060"/>
    <s v="Completed"/>
    <s v="Good"/>
    <s v="Small Order"/>
    <s v="Priority"/>
    <s v="No"/>
    <s v="No"/>
    <s v="Pooja--Delhi"/>
  </r>
  <r>
    <n v="105"/>
    <s v="Sameer"/>
    <x v="0"/>
    <s v=" Galaxy A14"/>
    <n v="1"/>
    <n v="17000"/>
    <s v="Hyderbad"/>
    <s v="Unpaid"/>
    <n v="2"/>
    <n v="17000"/>
    <n v="3060"/>
    <n v="20060"/>
    <n v="200"/>
    <n v="20260"/>
    <s v="Not Completed"/>
    <s v="Poor"/>
    <s v="Small Order"/>
    <s v="Normal"/>
    <s v="Yes"/>
    <s v="No"/>
    <s v="Sameer--Hyderbad"/>
  </r>
  <r>
    <n v="106"/>
    <s v="Neha"/>
    <x v="1"/>
    <s v="Vivo T2"/>
    <n v="4"/>
    <n v="16000"/>
    <s v="Mumbai"/>
    <s v="Paid"/>
    <n v="5"/>
    <n v="64000"/>
    <n v="11520"/>
    <n v="75520"/>
    <n v="200"/>
    <n v="75720"/>
    <s v="Completed"/>
    <s v="Excellent"/>
    <s v="Small Order"/>
    <s v="Normal"/>
    <s v="No"/>
    <s v="No"/>
    <s v="Neha--Mumbai"/>
  </r>
  <r>
    <n v="107"/>
    <s v="Amit"/>
    <x v="3"/>
    <s v="Redme 12C"/>
    <n v="2"/>
    <n v="9000"/>
    <s v="Chennai"/>
    <s v="Paid"/>
    <n v="3"/>
    <n v="18000"/>
    <n v="3240"/>
    <n v="21240"/>
    <n v="200"/>
    <n v="21440"/>
    <s v="Completed"/>
    <s v="Average"/>
    <s v="Small Order"/>
    <s v="Normal"/>
    <s v="No"/>
    <s v="No"/>
    <s v="Amit--Chennai"/>
  </r>
  <r>
    <n v="108"/>
    <s v="Sita"/>
    <x v="0"/>
    <s v="Realme C55"/>
    <n v="1"/>
    <n v="14000"/>
    <s v="Delhi"/>
    <s v="Unpaid"/>
    <n v="4"/>
    <n v="14000"/>
    <n v="2520"/>
    <n v="16520"/>
    <n v="100"/>
    <n v="16620"/>
    <s v="Not Completed"/>
    <s v="Good"/>
    <s v="Small Order"/>
    <s v="Normal"/>
    <s v="Yes"/>
    <s v="No"/>
    <s v="Sita--Delhi"/>
  </r>
  <r>
    <n v="109"/>
    <s v="Rohan"/>
    <x v="1"/>
    <s v="Galaxy F14"/>
    <n v="3"/>
    <n v="12500"/>
    <s v="Hyderbad"/>
    <s v="Paid"/>
    <n v="5"/>
    <n v="37500"/>
    <n v="6750"/>
    <n v="44250"/>
    <n v="200"/>
    <n v="44450"/>
    <s v="Completed"/>
    <s v="Excellent"/>
    <s v="Big Order"/>
    <s v="Normal"/>
    <s v="Yes"/>
    <s v="No"/>
    <s v="Rohan--Hyderbad"/>
  </r>
  <r>
    <n v="110"/>
    <s v="Meena"/>
    <x v="2"/>
    <s v="Vivo Y16"/>
    <n v="2"/>
    <n v="10000"/>
    <s v="Mumbai"/>
    <s v="Paid"/>
    <n v="3"/>
    <n v="20000"/>
    <n v="3600"/>
    <n v="23600"/>
    <n v="200"/>
    <n v="23800"/>
    <s v="Completed"/>
    <s v="Average"/>
    <s v="Small Order"/>
    <s v="Normal"/>
    <s v="No"/>
    <s v="No"/>
    <s v="Meena--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3F61D-72E1-4795-B7DF-45858861A2D2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Mobile Brand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6FC7-2216-4C9D-9A68-506D325E4D81}">
  <dimension ref="A3:B7"/>
  <sheetViews>
    <sheetView tabSelected="1" zoomScale="60" workbookViewId="0">
      <selection activeCell="P41" sqref="P41"/>
    </sheetView>
  </sheetViews>
  <sheetFormatPr defaultRowHeight="14.4" x14ac:dyDescent="0.3"/>
  <cols>
    <col min="1" max="1" width="14.5546875" bestFit="1" customWidth="1"/>
    <col min="2" max="2" width="20.33203125" bestFit="1" customWidth="1"/>
  </cols>
  <sheetData>
    <row r="3" spans="1:2" x14ac:dyDescent="0.3">
      <c r="A3" s="17" t="s">
        <v>2</v>
      </c>
      <c r="B3" t="s">
        <v>57</v>
      </c>
    </row>
    <row r="4" spans="1:2" x14ac:dyDescent="0.3">
      <c r="A4" t="s">
        <v>22</v>
      </c>
      <c r="B4" s="18">
        <v>2</v>
      </c>
    </row>
    <row r="5" spans="1:2" x14ac:dyDescent="0.3">
      <c r="A5" t="s">
        <v>21</v>
      </c>
      <c r="B5" s="18">
        <v>2</v>
      </c>
    </row>
    <row r="6" spans="1:2" x14ac:dyDescent="0.3">
      <c r="A6" t="s">
        <v>19</v>
      </c>
      <c r="B6" s="18">
        <v>3</v>
      </c>
    </row>
    <row r="7" spans="1:2" x14ac:dyDescent="0.3">
      <c r="A7" t="s">
        <v>20</v>
      </c>
      <c r="B7" s="18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6AEF-BFE9-4C71-BC01-350314D04391}">
  <dimension ref="A1:U32"/>
  <sheetViews>
    <sheetView zoomScale="94" workbookViewId="0">
      <selection activeCell="L18" sqref="L18"/>
    </sheetView>
  </sheetViews>
  <sheetFormatPr defaultRowHeight="14.4" x14ac:dyDescent="0.3"/>
  <cols>
    <col min="1" max="1" width="7.6640625" bestFit="1" customWidth="1"/>
    <col min="3" max="3" width="11.88671875" bestFit="1" customWidth="1"/>
    <col min="4" max="4" width="13.21875" bestFit="1" customWidth="1"/>
    <col min="5" max="5" width="21.77734375" bestFit="1" customWidth="1"/>
    <col min="6" max="6" width="12.109375" style="6" bestFit="1" customWidth="1"/>
    <col min="8" max="8" width="13.6640625" bestFit="1" customWidth="1"/>
    <col min="9" max="9" width="6.109375" bestFit="1" customWidth="1"/>
    <col min="10" max="10" width="12.5546875" bestFit="1" customWidth="1"/>
    <col min="11" max="11" width="15.77734375" bestFit="1" customWidth="1"/>
    <col min="12" max="12" width="12.21875" bestFit="1" customWidth="1"/>
    <col min="13" max="13" width="22.5546875" bestFit="1" customWidth="1"/>
    <col min="14" max="14" width="38.88671875" bestFit="1" customWidth="1"/>
    <col min="15" max="16" width="15.21875" bestFit="1" customWidth="1"/>
    <col min="17" max="17" width="11.33203125" bestFit="1" customWidth="1"/>
    <col min="18" max="18" width="12.33203125" bestFit="1" customWidth="1"/>
    <col min="19" max="20" width="16.33203125" bestFit="1" customWidth="1"/>
    <col min="21" max="21" width="17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48</v>
      </c>
      <c r="U1" s="1" t="s">
        <v>49</v>
      </c>
    </row>
    <row r="2" spans="1:21" x14ac:dyDescent="0.3">
      <c r="A2" s="2">
        <v>101</v>
      </c>
      <c r="B2" s="2" t="s">
        <v>9</v>
      </c>
      <c r="C2" s="2" t="s">
        <v>19</v>
      </c>
      <c r="D2" s="2" t="s">
        <v>23</v>
      </c>
      <c r="E2" s="2">
        <v>2</v>
      </c>
      <c r="F2" s="5">
        <v>13000</v>
      </c>
      <c r="G2" s="2" t="s">
        <v>33</v>
      </c>
      <c r="H2" s="2" t="s">
        <v>37</v>
      </c>
      <c r="I2" s="3">
        <v>4</v>
      </c>
      <c r="J2" s="7">
        <f>E2*$F2</f>
        <v>26000</v>
      </c>
      <c r="K2" s="7">
        <f>J2*0.18</f>
        <v>4680</v>
      </c>
      <c r="L2" s="7">
        <f>J2+K2</f>
        <v>30680</v>
      </c>
      <c r="M2" s="7">
        <f>IF(G2="Delhi",100,200)</f>
        <v>100</v>
      </c>
      <c r="N2" s="7">
        <f>L2+M2</f>
        <v>30780</v>
      </c>
      <c r="O2" s="7" t="str">
        <f>IF(H2="Paid","Completed","Not Completed")</f>
        <v>Completed</v>
      </c>
      <c r="P2" s="7" t="str">
        <f>IF(I2=5,"Excellent",IF(I2=4,"Good",IF(I2=3,"Average","Poor")))</f>
        <v>Good</v>
      </c>
      <c r="Q2" s="7" t="str">
        <f>IF(E2=3,"Big Order","Small Order")</f>
        <v>Small Order</v>
      </c>
      <c r="R2" s="7" t="str">
        <f>IF(AND(H2="Paid",I2=4),"Priority","Normal")</f>
        <v>Priority</v>
      </c>
      <c r="S2" s="7" t="str">
        <f>IF(OR(C2="Samsung",E2=3),"Yes","No")</f>
        <v>Yes</v>
      </c>
      <c r="T2" s="7" t="str">
        <f>IF(OR(D2="Samsung",F2=3),"Yes","No")</f>
        <v>No</v>
      </c>
      <c r="U2" s="7" t="str">
        <f>B2&amp;"--"&amp;G2</f>
        <v>Rahul--Delhi</v>
      </c>
    </row>
    <row r="3" spans="1:21" x14ac:dyDescent="0.3">
      <c r="A3" s="2">
        <v>102</v>
      </c>
      <c r="B3" s="2" t="s">
        <v>10</v>
      </c>
      <c r="C3" s="2" t="s">
        <v>20</v>
      </c>
      <c r="D3" s="2" t="s">
        <v>24</v>
      </c>
      <c r="E3" s="2">
        <v>1</v>
      </c>
      <c r="F3" s="5">
        <v>15000</v>
      </c>
      <c r="G3" s="2" t="s">
        <v>34</v>
      </c>
      <c r="H3" s="2" t="s">
        <v>38</v>
      </c>
      <c r="I3" s="3">
        <v>3</v>
      </c>
      <c r="J3" s="7">
        <f t="shared" ref="J3:K11" si="0">E3*$F3</f>
        <v>15000</v>
      </c>
      <c r="K3" s="7">
        <f t="shared" ref="K3:L11" si="1">J3*0.18</f>
        <v>2700</v>
      </c>
      <c r="L3" s="7">
        <f t="shared" ref="L3:M11" si="2">J3+K3</f>
        <v>17700</v>
      </c>
      <c r="M3" s="7">
        <f t="shared" ref="M3:N11" si="3">IF(G3="Delhi",100,200)</f>
        <v>200</v>
      </c>
      <c r="N3" s="7">
        <f t="shared" ref="N3:O11" si="4">L3+M3</f>
        <v>17900</v>
      </c>
      <c r="O3" s="7" t="str">
        <f t="shared" ref="O3:P11" si="5">IF(H3="Paid","Completed","Not Completed")</f>
        <v>Not Completed</v>
      </c>
      <c r="P3" s="7" t="str">
        <f t="shared" ref="P3:Q11" si="6">IF(I3=5,"Excellent",IF(I3=4,"Good",IF(I3=3,"Average","Poor")))</f>
        <v>Average</v>
      </c>
      <c r="Q3" s="7" t="str">
        <f t="shared" ref="Q3:R11" si="7">IF(E3=3,"Big Order","Small Order")</f>
        <v>Small Order</v>
      </c>
      <c r="R3" s="7" t="str">
        <f t="shared" ref="R3:S11" si="8">IF(AND(H3="Paid",I3=4),"Priority","Normal")</f>
        <v>Normal</v>
      </c>
      <c r="S3" s="7" t="str">
        <f t="shared" ref="S3:U11" si="9">IF(OR(C3="Samsung",E3=3),"Yes","No")</f>
        <v>No</v>
      </c>
      <c r="T3" s="7" t="str">
        <f t="shared" si="9"/>
        <v>No</v>
      </c>
      <c r="U3" s="7" t="str">
        <f t="shared" ref="U3:U11" si="10">B3&amp;"--"&amp;G3</f>
        <v>Anjali--Mumbai</v>
      </c>
    </row>
    <row r="4" spans="1:21" x14ac:dyDescent="0.3">
      <c r="A4" s="2">
        <v>103</v>
      </c>
      <c r="B4" s="2" t="s">
        <v>11</v>
      </c>
      <c r="C4" s="2" t="s">
        <v>21</v>
      </c>
      <c r="D4" s="2" t="s">
        <v>25</v>
      </c>
      <c r="E4" s="2">
        <v>3</v>
      </c>
      <c r="F4" s="5">
        <v>12000</v>
      </c>
      <c r="G4" s="2" t="s">
        <v>35</v>
      </c>
      <c r="H4" s="2" t="s">
        <v>37</v>
      </c>
      <c r="I4" s="3">
        <v>5</v>
      </c>
      <c r="J4" s="7">
        <f t="shared" si="0"/>
        <v>36000</v>
      </c>
      <c r="K4" s="7">
        <f t="shared" si="1"/>
        <v>6480</v>
      </c>
      <c r="L4" s="7">
        <f t="shared" si="2"/>
        <v>42480</v>
      </c>
      <c r="M4" s="7">
        <f t="shared" si="3"/>
        <v>200</v>
      </c>
      <c r="N4" s="7">
        <f t="shared" si="4"/>
        <v>42680</v>
      </c>
      <c r="O4" s="7" t="str">
        <f t="shared" si="5"/>
        <v>Completed</v>
      </c>
      <c r="P4" s="7" t="str">
        <f t="shared" si="6"/>
        <v>Excellent</v>
      </c>
      <c r="Q4" s="7" t="str">
        <f t="shared" si="7"/>
        <v>Big Order</v>
      </c>
      <c r="R4" s="7" t="str">
        <f t="shared" si="8"/>
        <v>Normal</v>
      </c>
      <c r="S4" s="7" t="str">
        <f t="shared" si="9"/>
        <v>Yes</v>
      </c>
      <c r="T4" s="7" t="str">
        <f t="shared" si="9"/>
        <v>No</v>
      </c>
      <c r="U4" s="7" t="str">
        <f t="shared" si="10"/>
        <v>Karan--Chennai</v>
      </c>
    </row>
    <row r="5" spans="1:21" x14ac:dyDescent="0.3">
      <c r="A5" s="2">
        <v>104</v>
      </c>
      <c r="B5" s="2" t="s">
        <v>12</v>
      </c>
      <c r="C5" s="2" t="s">
        <v>22</v>
      </c>
      <c r="D5" s="2" t="s">
        <v>26</v>
      </c>
      <c r="E5" s="2">
        <v>2</v>
      </c>
      <c r="F5" s="5">
        <v>11000</v>
      </c>
      <c r="G5" s="2" t="s">
        <v>33</v>
      </c>
      <c r="H5" s="2" t="s">
        <v>37</v>
      </c>
      <c r="I5" s="3">
        <v>4</v>
      </c>
      <c r="J5" s="7">
        <f t="shared" si="0"/>
        <v>22000</v>
      </c>
      <c r="K5" s="7">
        <f t="shared" si="1"/>
        <v>3960</v>
      </c>
      <c r="L5" s="7">
        <f t="shared" si="2"/>
        <v>25960</v>
      </c>
      <c r="M5" s="7">
        <f t="shared" si="3"/>
        <v>100</v>
      </c>
      <c r="N5" s="7">
        <f t="shared" si="4"/>
        <v>26060</v>
      </c>
      <c r="O5" s="7" t="str">
        <f t="shared" si="5"/>
        <v>Completed</v>
      </c>
      <c r="P5" s="7" t="str">
        <f t="shared" si="6"/>
        <v>Good</v>
      </c>
      <c r="Q5" s="7" t="str">
        <f t="shared" si="7"/>
        <v>Small Order</v>
      </c>
      <c r="R5" s="7" t="str">
        <f t="shared" si="8"/>
        <v>Priority</v>
      </c>
      <c r="S5" s="7" t="str">
        <f t="shared" si="9"/>
        <v>No</v>
      </c>
      <c r="T5" s="7" t="str">
        <f t="shared" si="9"/>
        <v>No</v>
      </c>
      <c r="U5" s="7" t="str">
        <f t="shared" si="10"/>
        <v>Pooja--Delhi</v>
      </c>
    </row>
    <row r="6" spans="1:21" x14ac:dyDescent="0.3">
      <c r="A6" s="2">
        <v>105</v>
      </c>
      <c r="B6" s="2" t="s">
        <v>13</v>
      </c>
      <c r="C6" s="2" t="s">
        <v>19</v>
      </c>
      <c r="D6" s="2" t="s">
        <v>27</v>
      </c>
      <c r="E6" s="2">
        <v>1</v>
      </c>
      <c r="F6" s="5">
        <v>17000</v>
      </c>
      <c r="G6" s="2" t="s">
        <v>36</v>
      </c>
      <c r="H6" s="2" t="s">
        <v>38</v>
      </c>
      <c r="I6" s="3">
        <v>2</v>
      </c>
      <c r="J6" s="7">
        <f t="shared" si="0"/>
        <v>17000</v>
      </c>
      <c r="K6" s="7">
        <f t="shared" si="1"/>
        <v>3060</v>
      </c>
      <c r="L6" s="7">
        <f t="shared" si="2"/>
        <v>20060</v>
      </c>
      <c r="M6" s="7">
        <f t="shared" si="3"/>
        <v>200</v>
      </c>
      <c r="N6" s="7">
        <f t="shared" si="4"/>
        <v>20260</v>
      </c>
      <c r="O6" s="7" t="str">
        <f t="shared" si="5"/>
        <v>Not Completed</v>
      </c>
      <c r="P6" s="7" t="str">
        <f t="shared" si="6"/>
        <v>Poor</v>
      </c>
      <c r="Q6" s="7" t="str">
        <f t="shared" si="7"/>
        <v>Small Order</v>
      </c>
      <c r="R6" s="7" t="str">
        <f t="shared" si="8"/>
        <v>Normal</v>
      </c>
      <c r="S6" s="7" t="str">
        <f t="shared" si="9"/>
        <v>Yes</v>
      </c>
      <c r="T6" s="7" t="str">
        <f t="shared" si="9"/>
        <v>No</v>
      </c>
      <c r="U6" s="7" t="str">
        <f t="shared" si="10"/>
        <v>Sameer--Hyderbad</v>
      </c>
    </row>
    <row r="7" spans="1:21" x14ac:dyDescent="0.3">
      <c r="A7" s="2">
        <v>106</v>
      </c>
      <c r="B7" s="2" t="s">
        <v>14</v>
      </c>
      <c r="C7" s="2" t="s">
        <v>20</v>
      </c>
      <c r="D7" s="2" t="s">
        <v>28</v>
      </c>
      <c r="E7" s="2">
        <v>4</v>
      </c>
      <c r="F7" s="5">
        <v>16000</v>
      </c>
      <c r="G7" s="2" t="s">
        <v>34</v>
      </c>
      <c r="H7" s="2" t="s">
        <v>37</v>
      </c>
      <c r="I7" s="3">
        <v>5</v>
      </c>
      <c r="J7" s="7">
        <f t="shared" si="0"/>
        <v>64000</v>
      </c>
      <c r="K7" s="7">
        <f t="shared" si="1"/>
        <v>11520</v>
      </c>
      <c r="L7" s="7">
        <f t="shared" si="2"/>
        <v>75520</v>
      </c>
      <c r="M7" s="7">
        <f t="shared" si="3"/>
        <v>200</v>
      </c>
      <c r="N7" s="7">
        <f t="shared" si="4"/>
        <v>75720</v>
      </c>
      <c r="O7" s="7" t="str">
        <f t="shared" si="5"/>
        <v>Completed</v>
      </c>
      <c r="P7" s="7" t="str">
        <f t="shared" si="6"/>
        <v>Excellent</v>
      </c>
      <c r="Q7" s="7" t="str">
        <f t="shared" si="7"/>
        <v>Small Order</v>
      </c>
      <c r="R7" s="7" t="str">
        <f t="shared" si="8"/>
        <v>Normal</v>
      </c>
      <c r="S7" s="7" t="str">
        <f t="shared" si="9"/>
        <v>No</v>
      </c>
      <c r="T7" s="7" t="str">
        <f t="shared" si="9"/>
        <v>No</v>
      </c>
      <c r="U7" s="7" t="str">
        <f t="shared" si="10"/>
        <v>Neha--Mumbai</v>
      </c>
    </row>
    <row r="8" spans="1:21" x14ac:dyDescent="0.3">
      <c r="A8" s="2">
        <v>107</v>
      </c>
      <c r="B8" s="2" t="s">
        <v>15</v>
      </c>
      <c r="C8" s="2" t="s">
        <v>22</v>
      </c>
      <c r="D8" s="2" t="s">
        <v>29</v>
      </c>
      <c r="E8" s="2">
        <v>2</v>
      </c>
      <c r="F8" s="5">
        <v>9000</v>
      </c>
      <c r="G8" s="2" t="s">
        <v>35</v>
      </c>
      <c r="H8" s="2" t="s">
        <v>37</v>
      </c>
      <c r="I8" s="3">
        <v>3</v>
      </c>
      <c r="J8" s="7">
        <f t="shared" si="0"/>
        <v>18000</v>
      </c>
      <c r="K8" s="7">
        <f t="shared" si="1"/>
        <v>3240</v>
      </c>
      <c r="L8" s="7">
        <f t="shared" si="2"/>
        <v>21240</v>
      </c>
      <c r="M8" s="7">
        <f t="shared" si="3"/>
        <v>200</v>
      </c>
      <c r="N8" s="7">
        <f t="shared" si="4"/>
        <v>21440</v>
      </c>
      <c r="O8" s="7" t="str">
        <f t="shared" si="5"/>
        <v>Completed</v>
      </c>
      <c r="P8" s="7" t="str">
        <f t="shared" si="6"/>
        <v>Average</v>
      </c>
      <c r="Q8" s="7" t="str">
        <f t="shared" si="7"/>
        <v>Small Order</v>
      </c>
      <c r="R8" s="7" t="str">
        <f t="shared" si="8"/>
        <v>Normal</v>
      </c>
      <c r="S8" s="7" t="str">
        <f t="shared" si="9"/>
        <v>No</v>
      </c>
      <c r="T8" s="7" t="str">
        <f t="shared" si="9"/>
        <v>No</v>
      </c>
      <c r="U8" s="7" t="str">
        <f t="shared" si="10"/>
        <v>Amit--Chennai</v>
      </c>
    </row>
    <row r="9" spans="1:21" x14ac:dyDescent="0.3">
      <c r="A9" s="2">
        <v>108</v>
      </c>
      <c r="B9" s="2" t="s">
        <v>16</v>
      </c>
      <c r="C9" s="2" t="s">
        <v>19</v>
      </c>
      <c r="D9" s="2" t="s">
        <v>30</v>
      </c>
      <c r="E9" s="2">
        <v>1</v>
      </c>
      <c r="F9" s="5">
        <v>14000</v>
      </c>
      <c r="G9" s="2" t="s">
        <v>33</v>
      </c>
      <c r="H9" s="2" t="s">
        <v>38</v>
      </c>
      <c r="I9" s="3">
        <v>4</v>
      </c>
      <c r="J9" s="7">
        <f t="shared" si="0"/>
        <v>14000</v>
      </c>
      <c r="K9" s="7">
        <f t="shared" si="1"/>
        <v>2520</v>
      </c>
      <c r="L9" s="7">
        <f t="shared" si="2"/>
        <v>16520</v>
      </c>
      <c r="M9" s="7">
        <f t="shared" si="3"/>
        <v>100</v>
      </c>
      <c r="N9" s="7">
        <f t="shared" si="4"/>
        <v>16620</v>
      </c>
      <c r="O9" s="7" t="str">
        <f t="shared" si="5"/>
        <v>Not Completed</v>
      </c>
      <c r="P9" s="7" t="str">
        <f t="shared" si="6"/>
        <v>Good</v>
      </c>
      <c r="Q9" s="7" t="str">
        <f t="shared" si="7"/>
        <v>Small Order</v>
      </c>
      <c r="R9" s="7" t="str">
        <f t="shared" si="8"/>
        <v>Normal</v>
      </c>
      <c r="S9" s="7" t="str">
        <f t="shared" si="9"/>
        <v>Yes</v>
      </c>
      <c r="T9" s="7" t="str">
        <f t="shared" si="9"/>
        <v>No</v>
      </c>
      <c r="U9" s="7" t="str">
        <f t="shared" si="10"/>
        <v>Sita--Delhi</v>
      </c>
    </row>
    <row r="10" spans="1:21" x14ac:dyDescent="0.3">
      <c r="A10" s="2">
        <v>109</v>
      </c>
      <c r="B10" s="2" t="s">
        <v>17</v>
      </c>
      <c r="C10" s="2" t="s">
        <v>20</v>
      </c>
      <c r="D10" s="2" t="s">
        <v>31</v>
      </c>
      <c r="E10" s="2">
        <v>3</v>
      </c>
      <c r="F10" s="5">
        <v>12500</v>
      </c>
      <c r="G10" s="2" t="s">
        <v>36</v>
      </c>
      <c r="H10" s="2" t="s">
        <v>37</v>
      </c>
      <c r="I10" s="3">
        <v>5</v>
      </c>
      <c r="J10" s="7">
        <f t="shared" si="0"/>
        <v>37500</v>
      </c>
      <c r="K10" s="7">
        <f t="shared" si="1"/>
        <v>6750</v>
      </c>
      <c r="L10" s="7">
        <f t="shared" si="2"/>
        <v>44250</v>
      </c>
      <c r="M10" s="7">
        <f t="shared" si="3"/>
        <v>200</v>
      </c>
      <c r="N10" s="7">
        <f t="shared" si="4"/>
        <v>44450</v>
      </c>
      <c r="O10" s="7" t="str">
        <f t="shared" si="5"/>
        <v>Completed</v>
      </c>
      <c r="P10" s="7" t="str">
        <f t="shared" si="6"/>
        <v>Excellent</v>
      </c>
      <c r="Q10" s="7" t="str">
        <f t="shared" si="7"/>
        <v>Big Order</v>
      </c>
      <c r="R10" s="7" t="str">
        <f t="shared" si="8"/>
        <v>Normal</v>
      </c>
      <c r="S10" s="7" t="str">
        <f t="shared" si="9"/>
        <v>Yes</v>
      </c>
      <c r="T10" s="7" t="str">
        <f t="shared" si="9"/>
        <v>No</v>
      </c>
      <c r="U10" s="7" t="str">
        <f t="shared" si="10"/>
        <v>Rohan--Hyderbad</v>
      </c>
    </row>
    <row r="11" spans="1:21" x14ac:dyDescent="0.3">
      <c r="A11" s="2">
        <v>110</v>
      </c>
      <c r="B11" s="2" t="s">
        <v>18</v>
      </c>
      <c r="C11" s="2" t="s">
        <v>21</v>
      </c>
      <c r="D11" s="2" t="s">
        <v>32</v>
      </c>
      <c r="E11" s="2">
        <v>2</v>
      </c>
      <c r="F11" s="5">
        <v>10000</v>
      </c>
      <c r="G11" s="2" t="s">
        <v>34</v>
      </c>
      <c r="H11" s="2" t="s">
        <v>37</v>
      </c>
      <c r="I11" s="3">
        <v>3</v>
      </c>
      <c r="J11" s="7">
        <f t="shared" si="0"/>
        <v>20000</v>
      </c>
      <c r="K11" s="7">
        <f t="shared" si="1"/>
        <v>3600</v>
      </c>
      <c r="L11" s="7">
        <f t="shared" si="2"/>
        <v>23600</v>
      </c>
      <c r="M11" s="7">
        <f t="shared" si="3"/>
        <v>200</v>
      </c>
      <c r="N11" s="7">
        <f t="shared" si="4"/>
        <v>23800</v>
      </c>
      <c r="O11" s="7" t="str">
        <f t="shared" si="5"/>
        <v>Completed</v>
      </c>
      <c r="P11" s="7" t="str">
        <f t="shared" si="6"/>
        <v>Average</v>
      </c>
      <c r="Q11" s="7" t="str">
        <f t="shared" si="7"/>
        <v>Small Order</v>
      </c>
      <c r="R11" s="7" t="str">
        <f t="shared" si="8"/>
        <v>Normal</v>
      </c>
      <c r="S11" s="7" t="str">
        <f t="shared" si="9"/>
        <v>No</v>
      </c>
      <c r="T11" s="7" t="str">
        <f t="shared" si="9"/>
        <v>No</v>
      </c>
      <c r="U11" s="7" t="str">
        <f t="shared" si="10"/>
        <v>Meena--Mumbai</v>
      </c>
    </row>
    <row r="13" spans="1:21" x14ac:dyDescent="0.3">
      <c r="E13" s="8" t="s">
        <v>50</v>
      </c>
      <c r="F13" s="9">
        <f>AVERAGE(F2:F11)</f>
        <v>12950</v>
      </c>
    </row>
    <row r="15" spans="1:21" x14ac:dyDescent="0.3">
      <c r="D15" s="10" t="s">
        <v>51</v>
      </c>
      <c r="E15" s="10">
        <f>SUM(E2:E11)</f>
        <v>21</v>
      </c>
    </row>
    <row r="20" spans="5:15" x14ac:dyDescent="0.3">
      <c r="K20" s="13" t="s">
        <v>53</v>
      </c>
      <c r="L20" s="13">
        <f>COUNTIF(H:H,"Paid")</f>
        <v>7</v>
      </c>
    </row>
    <row r="21" spans="5:15" x14ac:dyDescent="0.3">
      <c r="E21" s="11" t="s">
        <v>52</v>
      </c>
      <c r="F21" s="12">
        <f>COUNTIF(C:C,"Samsung")</f>
        <v>3</v>
      </c>
    </row>
    <row r="23" spans="5:15" x14ac:dyDescent="0.3">
      <c r="M23" s="14" t="s">
        <v>54</v>
      </c>
      <c r="N23" s="14">
        <f>COUNTIF(G:G,"Mumbai")</f>
        <v>3</v>
      </c>
    </row>
    <row r="31" spans="5:15" x14ac:dyDescent="0.3">
      <c r="N31" s="16" t="s">
        <v>56</v>
      </c>
      <c r="O31" s="16">
        <f>COUNTIF(E:E,"&gt;2")</f>
        <v>4</v>
      </c>
    </row>
    <row r="32" spans="5:15" x14ac:dyDescent="0.3">
      <c r="K32" s="15" t="s">
        <v>55</v>
      </c>
      <c r="L32" s="15">
        <f>COUNTIF(I:I,5)</f>
        <v>3</v>
      </c>
    </row>
  </sheetData>
  <pageMargins left="0.7" right="0.7" top="0.75" bottom="0.75" header="0.3" footer="0.3"/>
  <ignoredErrors>
    <ignoredError sqref="M2:M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of mobile brand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Behera</dc:creator>
  <cp:lastModifiedBy>Basant Behera</cp:lastModifiedBy>
  <dcterms:created xsi:type="dcterms:W3CDTF">2026-05-19T07:19:51Z</dcterms:created>
  <dcterms:modified xsi:type="dcterms:W3CDTF">2026-05-19T13:51:42Z</dcterms:modified>
</cp:coreProperties>
</file>