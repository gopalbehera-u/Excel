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beher\Downloads\"/>
    </mc:Choice>
  </mc:AlternateContent>
  <xr:revisionPtr revIDLastSave="0" documentId="13_ncr:1_{9CA2891F-C321-48E7-BE71-AC8AF8C0A53D}" xr6:coauthVersionLast="47" xr6:coauthVersionMax="47" xr10:uidLastSave="{00000000-0000-0000-0000-000000000000}"/>
  <bookViews>
    <workbookView xWindow="-108" yWindow="-108" windowWidth="23256" windowHeight="13896" xr2:uid="{00000000-000D-0000-FFFF-FFFF00000000}"/>
  </bookViews>
  <sheets>
    <sheet name="Sheet1" sheetId="6" r:id="rId1"/>
    <sheet name="Store Sales Data" sheetId="1" r:id="rId2"/>
    <sheet name="Summary &amp; Subtotal" sheetId="2" r:id="rId3"/>
    <sheet name="Conditional Formatting" sheetId="3" r:id="rId4"/>
    <sheet name="Pivot Table Tasks" sheetId="4" r:id="rId5"/>
    <sheet name="📋 All Tasks" sheetId="5" r:id="rId6"/>
  </sheets>
  <definedNames>
    <definedName name="_xlnm._FilterDatabase" localSheetId="1" hidden="1">'Store Sales Data'!$A$1:$R$32</definedName>
    <definedName name="Slicer_Category">#N/A</definedName>
  </definedNames>
  <calcPr calcId="191029"/>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1" l="1"/>
  <c r="E45" i="1"/>
  <c r="Q3" i="1"/>
  <c r="Q4" i="1"/>
  <c r="Q5" i="1"/>
  <c r="Q6" i="1"/>
  <c r="Q7" i="1"/>
  <c r="Q8" i="1"/>
  <c r="Q9" i="1"/>
  <c r="Q10" i="1"/>
  <c r="Q11" i="1"/>
  <c r="Q12" i="1"/>
  <c r="Q13" i="1"/>
  <c r="Q14" i="1"/>
  <c r="Q15" i="1"/>
  <c r="Q16" i="1"/>
  <c r="Q17" i="1"/>
  <c r="Q18" i="1"/>
  <c r="Q19" i="1"/>
  <c r="Q20" i="1"/>
  <c r="Q21" i="1"/>
  <c r="Q2" i="1"/>
  <c r="P3" i="1"/>
  <c r="P4" i="1"/>
  <c r="P5" i="1"/>
  <c r="P6" i="1"/>
  <c r="P7" i="1"/>
  <c r="P8" i="1"/>
  <c r="P9" i="1"/>
  <c r="P10" i="1"/>
  <c r="P11" i="1"/>
  <c r="P12" i="1"/>
  <c r="P13" i="1"/>
  <c r="P14" i="1"/>
  <c r="P15" i="1"/>
  <c r="P16" i="1"/>
  <c r="P17" i="1"/>
  <c r="P18" i="1"/>
  <c r="P19" i="1"/>
  <c r="P20" i="1"/>
  <c r="P21" i="1"/>
  <c r="P2" i="1"/>
  <c r="M3" i="1"/>
  <c r="N3" i="1" s="1"/>
  <c r="O3" i="1" s="1"/>
  <c r="M4" i="1"/>
  <c r="M5" i="1"/>
  <c r="M6" i="1"/>
  <c r="M7" i="1"/>
  <c r="M8" i="1"/>
  <c r="M9" i="1"/>
  <c r="M10" i="1"/>
  <c r="M11" i="1"/>
  <c r="M12" i="1"/>
  <c r="M13" i="1"/>
  <c r="M14" i="1"/>
  <c r="M15" i="1"/>
  <c r="M16" i="1"/>
  <c r="M17" i="1"/>
  <c r="M18" i="1"/>
  <c r="M19" i="1"/>
  <c r="M20" i="1"/>
  <c r="M21" i="1"/>
  <c r="M2" i="1"/>
  <c r="L3" i="1"/>
  <c r="L4" i="1"/>
  <c r="L5" i="1"/>
  <c r="L6" i="1"/>
  <c r="L7" i="1"/>
  <c r="L8" i="1"/>
  <c r="L9" i="1"/>
  <c r="L10" i="1"/>
  <c r="L11" i="1"/>
  <c r="L12" i="1"/>
  <c r="L13" i="1"/>
  <c r="L14" i="1"/>
  <c r="L15" i="1"/>
  <c r="L16" i="1"/>
  <c r="L18" i="1"/>
  <c r="L19" i="1"/>
  <c r="L20" i="1"/>
  <c r="L21" i="1"/>
  <c r="L2" i="1"/>
  <c r="E10" i="3"/>
  <c r="E9" i="3"/>
  <c r="E8" i="3"/>
  <c r="E7" i="3"/>
  <c r="E6" i="3"/>
  <c r="E5" i="3"/>
  <c r="E4" i="3"/>
  <c r="E3" i="3"/>
  <c r="B27" i="2"/>
  <c r="B26" i="2"/>
  <c r="B24" i="2"/>
  <c r="B20" i="2"/>
  <c r="B18" i="2"/>
  <c r="B17" i="2"/>
  <c r="D12" i="2"/>
  <c r="D11" i="2"/>
  <c r="D10" i="2"/>
  <c r="D9" i="2"/>
  <c r="D8" i="2"/>
  <c r="D7" i="2"/>
  <c r="D6" i="2"/>
  <c r="D5" i="2"/>
  <c r="J41" i="1" l="1"/>
  <c r="J32" i="1"/>
  <c r="J35" i="1"/>
  <c r="N17" i="1"/>
  <c r="O17" i="1" s="1"/>
  <c r="N5" i="1"/>
  <c r="O5" i="1" s="1"/>
  <c r="J38" i="1"/>
  <c r="N4" i="1"/>
  <c r="N12" i="1"/>
  <c r="O12" i="1" s="1"/>
  <c r="N16" i="1"/>
  <c r="O16" i="1" s="1"/>
  <c r="N11" i="1"/>
  <c r="O11" i="1" s="1"/>
  <c r="N15" i="1"/>
  <c r="O15" i="1" s="1"/>
  <c r="N2" i="1"/>
  <c r="O2" i="1" s="1"/>
  <c r="N8" i="1"/>
  <c r="O8" i="1" s="1"/>
  <c r="N7" i="1"/>
  <c r="O7" i="1" s="1"/>
  <c r="N18" i="1"/>
  <c r="O18" i="1" s="1"/>
  <c r="N21" i="1"/>
  <c r="O21" i="1" s="1"/>
  <c r="N9" i="1"/>
  <c r="O9" i="1" s="1"/>
  <c r="N20" i="1"/>
  <c r="O20" i="1" s="1"/>
  <c r="N19" i="1"/>
  <c r="O19" i="1" s="1"/>
  <c r="N6" i="1"/>
  <c r="O6" i="1" s="1"/>
  <c r="N10" i="1"/>
  <c r="O10" i="1" s="1"/>
  <c r="N14" i="1"/>
  <c r="O14" i="1" s="1"/>
  <c r="N13" i="1"/>
  <c r="O13" i="1" s="1"/>
  <c r="O4" i="1"/>
  <c r="E33" i="1" l="1"/>
  <c r="E39" i="1"/>
  <c r="E36" i="1"/>
  <c r="E42" i="1"/>
  <c r="B16" i="2"/>
  <c r="B19" i="2"/>
</calcChain>
</file>

<file path=xl/sharedStrings.xml><?xml version="1.0" encoding="utf-8"?>
<sst xmlns="http://schemas.openxmlformats.org/spreadsheetml/2006/main" count="424" uniqueCount="260">
  <si>
    <t>OrderID</t>
  </si>
  <si>
    <t>SalesPerson</t>
  </si>
  <si>
    <t>Category</t>
  </si>
  <si>
    <t>Region</t>
  </si>
  <si>
    <t>Month</t>
  </si>
  <si>
    <t>Units</t>
  </si>
  <si>
    <t>UnitPrice</t>
  </si>
  <si>
    <t>Discount%</t>
  </si>
  <si>
    <t>CustomerRating</t>
  </si>
  <si>
    <t>DeliveryDays</t>
  </si>
  <si>
    <t>Returned</t>
  </si>
  <si>
    <t>GrossRevenue</t>
  </si>
  <si>
    <t>DiscountAmt</t>
  </si>
  <si>
    <t>NetRevenue</t>
  </si>
  <si>
    <t>PerformanceTag</t>
  </si>
  <si>
    <t>RatingGrade</t>
  </si>
  <si>
    <t>ORD001</t>
  </si>
  <si>
    <t>Aarav Shah</t>
  </si>
  <si>
    <t>Electronics</t>
  </si>
  <si>
    <t>North</t>
  </si>
  <si>
    <t>Jan</t>
  </si>
  <si>
    <t>No</t>
  </si>
  <si>
    <t>ORD002</t>
  </si>
  <si>
    <t>Priya Reddy</t>
  </si>
  <si>
    <t>Clothing</t>
  </si>
  <si>
    <t>South</t>
  </si>
  <si>
    <t>ORD003</t>
  </si>
  <si>
    <t>Rohit Kumar</t>
  </si>
  <si>
    <t>East</t>
  </si>
  <si>
    <t>ORD004</t>
  </si>
  <si>
    <t>Sneha Iyer</t>
  </si>
  <si>
    <t>Furniture</t>
  </si>
  <si>
    <t>West</t>
  </si>
  <si>
    <t>Yes</t>
  </si>
  <si>
    <t>ORD005</t>
  </si>
  <si>
    <t>Karan Mehta</t>
  </si>
  <si>
    <t>ORD006</t>
  </si>
  <si>
    <t>Feb</t>
  </si>
  <si>
    <t>ORD007</t>
  </si>
  <si>
    <t>ORD008</t>
  </si>
  <si>
    <t>ORD009</t>
  </si>
  <si>
    <t>ORD010</t>
  </si>
  <si>
    <t>ORD011</t>
  </si>
  <si>
    <t>Mar</t>
  </si>
  <si>
    <t>ORD012</t>
  </si>
  <si>
    <t>ORD013</t>
  </si>
  <si>
    <t>ORD014</t>
  </si>
  <si>
    <t>ORD015</t>
  </si>
  <si>
    <t>ORD016</t>
  </si>
  <si>
    <t>Apr</t>
  </si>
  <si>
    <t>ORD017</t>
  </si>
  <si>
    <t>ORD018</t>
  </si>
  <si>
    <t>ORD019</t>
  </si>
  <si>
    <t>ORD020</t>
  </si>
  <si>
    <t>📊 Summary Dashboard — SUBTOTAL &amp; AGGREGATE Practice</t>
  </si>
  <si>
    <t>SUBTOTAL Function Numbers</t>
  </si>
  <si>
    <t>Function#</t>
  </si>
  <si>
    <t>Ignores Hidden Rows?</t>
  </si>
  <si>
    <t>What it does</t>
  </si>
  <si>
    <t>Example</t>
  </si>
  <si>
    <t>1 / 101</t>
  </si>
  <si>
    <t>101 ignores hidden</t>
  </si>
  <si>
    <t>AVERAGE</t>
  </si>
  <si>
    <t>2 / 102</t>
  </si>
  <si>
    <t>102 ignores hidden</t>
  </si>
  <si>
    <t>COUNT</t>
  </si>
  <si>
    <t>3 / 103</t>
  </si>
  <si>
    <t>103 ignores hidden</t>
  </si>
  <si>
    <t>COUNTA</t>
  </si>
  <si>
    <t>4 / 104</t>
  </si>
  <si>
    <t>104 ignores hidden</t>
  </si>
  <si>
    <t>MAX</t>
  </si>
  <si>
    <t>5 / 105</t>
  </si>
  <si>
    <t>105 ignores hidden</t>
  </si>
  <si>
    <t>MIN</t>
  </si>
  <si>
    <t>6 / 106</t>
  </si>
  <si>
    <t>106 ignores hidden</t>
  </si>
  <si>
    <t>PRODUCT</t>
  </si>
  <si>
    <t>9 / 109</t>
  </si>
  <si>
    <t>109 ignores hidden</t>
  </si>
  <si>
    <t>SUM</t>
  </si>
  <si>
    <t>11 / 111</t>
  </si>
  <si>
    <t>111 ignores hidden</t>
  </si>
  <si>
    <t>VAR</t>
  </si>
  <si>
    <t>📝 Practice Area — Apply SUBTOTAL formulas below (referencing Store Sales Data sheet)</t>
  </si>
  <si>
    <t>Task</t>
  </si>
  <si>
    <t>Formula to write</t>
  </si>
  <si>
    <t>Your Answer (type here)</t>
  </si>
  <si>
    <t>Expected Result</t>
  </si>
  <si>
    <t>Sum of all NetRevenue (col N) using SUBTOTAL</t>
  </si>
  <si>
    <t>Count of orders using SUBTOTAL (ignores hidden)</t>
  </si>
  <si>
    <t>Average CustomerRating using SUBTOTAL</t>
  </si>
  <si>
    <t>MAX NetRevenue using SUBTOTAL</t>
  </si>
  <si>
    <t>MIN DeliveryDays using SUBTOTAL</t>
  </si>
  <si>
    <t>AGGREGATE Function — Similar to SUBTOTAL but with more options</t>
  </si>
  <si>
    <t>AGGREGATE Syntax</t>
  </si>
  <si>
    <t>Options 0-7</t>
  </si>
  <si>
    <t>0=include all  1=ignore hidden  5=ignore errors  7=ignore hidden+errors</t>
  </si>
  <si>
    <t>Key difference vs SUBTOTAL</t>
  </si>
  <si>
    <t>AGGREGATE can ignore ERROR cells too — SUBTOTAL cannot!</t>
  </si>
  <si>
    <t>🎨 Conditional Formatting — Practice Sheet</t>
  </si>
  <si>
    <t>Jan_Sales</t>
  </si>
  <si>
    <t>Feb_Sales</t>
  </si>
  <si>
    <t>Mar_Sales</t>
  </si>
  <si>
    <t>Total</t>
  </si>
  <si>
    <t>Rating</t>
  </si>
  <si>
    <t>Status</t>
  </si>
  <si>
    <t>Active</t>
  </si>
  <si>
    <t>Divya Nair</t>
  </si>
  <si>
    <t>Inactive</t>
  </si>
  <si>
    <t>Arjun Patel</t>
  </si>
  <si>
    <t>Meera Joshi</t>
  </si>
  <si>
    <t>📋 Conditional Formatting Tasks — Apply these to the table above</t>
  </si>
  <si>
    <t>#</t>
  </si>
  <si>
    <t>Task Description</t>
  </si>
  <si>
    <t>How to do it</t>
  </si>
  <si>
    <t>1</t>
  </si>
  <si>
    <t>The Jan/Feb/Mar columns already have a Color Scale (green=high, red=low). Observe how it works, then remove and re-apply it yourself.</t>
  </si>
  <si>
    <t>Select B3:D10 → Home → Conditional Formatting → Color Scales</t>
  </si>
  <si>
    <t>2</t>
  </si>
  <si>
    <t>Apply Data Bars to the Total column (E) to visually compare totals.</t>
  </si>
  <si>
    <t>Select E3:E10 → Conditional Formatting → Data Bars</t>
  </si>
  <si>
    <t>3</t>
  </si>
  <si>
    <t>Highlight any Rating (col F) below 3.5 in RED bold text.</t>
  </si>
  <si>
    <t>Select F3:F10 → CF → Highlight Cell Rules → Less Than → 3.5</t>
  </si>
  <si>
    <t>4</t>
  </si>
  <si>
    <t>Use a formula rule to highlight the entire row grey+italic when Status = 'Inactive'.</t>
  </si>
  <si>
    <t>Select A3:G10 → CF → New Rule → Use formula → =$G3="Inactive"</t>
  </si>
  <si>
    <t>5</t>
  </si>
  <si>
    <t>Apply Icon Sets to the Rating column (F) — 3 icons (green/yellow/red).</t>
  </si>
  <si>
    <t>Select F3:F10 → CF → Icon Sets → 3 Traffic Lights</t>
  </si>
  <si>
    <t>6</t>
  </si>
  <si>
    <t>Highlight the TOP 3 Total values in green.</t>
  </si>
  <si>
    <t>Select E3:E10 → CF → Top/Bottom Rules → Top 10 Items → change to 3</t>
  </si>
  <si>
    <t>7</t>
  </si>
  <si>
    <t>Add a rule: if Total &gt; 2000000 → fill cell BLUE.</t>
  </si>
  <si>
    <t>Select E3:E10 → CF → New Rule → Greater Than → 2000000</t>
  </si>
  <si>
    <t>8</t>
  </si>
  <si>
    <t>Manage all rules: go to CF → Manage Rules and delete/edit any rule.</t>
  </si>
  <si>
    <t>Home → Conditional Formatting → Manage Rules</t>
  </si>
  <si>
    <t>🔄 Pivot Table — Step-by-Step Practice</t>
  </si>
  <si>
    <t>📌 What is a Pivot Table?</t>
  </si>
  <si>
    <t>A Pivot Table summarises large datasets into a compact table — showing totals, averages, counts grouped by categories. No formulas needed!</t>
  </si>
  <si>
    <t>🛠️ How to Create a Pivot Table</t>
  </si>
  <si>
    <t>Step 1 →  Click anywhere inside the 'Store Sales Data' table</t>
  </si>
  <si>
    <t>Step 2 →  Go to Insert tab → click PivotTable</t>
  </si>
  <si>
    <t>Step 3 →  Choose 'New Worksheet' → click OK</t>
  </si>
  <si>
    <t>Step 4 →  A new sheet opens with the PivotTable Field List on the right</t>
  </si>
  <si>
    <t>Step 5 →  Drag fields into the 4 areas: Filters, Columns, Rows, Values</t>
  </si>
  <si>
    <t>Step 6 →  Your pivot table builds automatically!</t>
  </si>
  <si>
    <t>📋 Pivot Table Tasks — Create each of these pivot tables from 'Store Sales Data'</t>
  </si>
  <si>
    <t>Rows area</t>
  </si>
  <si>
    <t>Values area</t>
  </si>
  <si>
    <t>What you'll see</t>
  </si>
  <si>
    <t>Total NetRevenue by SalesPerson</t>
  </si>
  <si>
    <t>Sum of NetRevenue</t>
  </si>
  <si>
    <t>Which salesperson earned the most</t>
  </si>
  <si>
    <t>Count of orders by Category</t>
  </si>
  <si>
    <t>Count of OrderID</t>
  </si>
  <si>
    <t>How many orders per product category</t>
  </si>
  <si>
    <t>Average CustomerRating by Region</t>
  </si>
  <si>
    <t>Average of CustomerRating</t>
  </si>
  <si>
    <t>Which region has happiest customers</t>
  </si>
  <si>
    <t>Total Units sold by Month</t>
  </si>
  <si>
    <t>Sum of Units</t>
  </si>
  <si>
    <t>Which month had highest sales volume</t>
  </si>
  <si>
    <t>NetRevenue by Category AND Region (add Region to Columns)</t>
  </si>
  <si>
    <t>Sum of NetRevenue + Region in Columns</t>
  </si>
  <si>
    <t>A cross-tab of category vs region</t>
  </si>
  <si>
    <t>Filter the pivot by 'Returned = No' using the Filters area</t>
  </si>
  <si>
    <t>Revenue from non-returned orders only</t>
  </si>
  <si>
    <t>Sort the pivot table by NetRevenue descending</t>
  </si>
  <si>
    <t>Any</t>
  </si>
  <si>
    <t>Highest earner at the top</t>
  </si>
  <si>
    <t>Change Value Field from SUM to AVERAGE for NetRevenue</t>
  </si>
  <si>
    <t>Average of NetRevenue</t>
  </si>
  <si>
    <t>Right-click value → Value Field Settings → Average</t>
  </si>
  <si>
    <t>9</t>
  </si>
  <si>
    <t>Add a Slicer for 'Category' column</t>
  </si>
  <si>
    <t>Any pivot</t>
  </si>
  <si>
    <t>Right-click pivot → Insert Slicer</t>
  </si>
  <si>
    <t>Visual filter buttons appear</t>
  </si>
  <si>
    <t>10</t>
  </si>
  <si>
    <t>Insert a Pivot Chart from your pivot table</t>
  </si>
  <si>
    <t>PivotTable Analyze tab → PivotChart</t>
  </si>
  <si>
    <t>Chart linked to pivot</t>
  </si>
  <si>
    <t>✅ Excel Practice 2 — All Tasks Checklist</t>
  </si>
  <si>
    <t>Work in the respective sheets. Tick ☐ → ✅ as you complete each task. Ask for help only if truly stuck!</t>
  </si>
  <si>
    <t>📁 SECTION 1 — Computed Columns  (work in: Store Sales Data sheet)</t>
  </si>
  <si>
    <t>1. Add 'GrossRevenue' in col L = Units × UnitPrice</t>
  </si>
  <si>
    <t>💡 =F2*G2</t>
  </si>
  <si>
    <t>☐</t>
  </si>
  <si>
    <t>2. Add 'DiscountAmt' in col M = GrossRevenue × Discount% / 100</t>
  </si>
  <si>
    <t>💡 =L2*H2/100</t>
  </si>
  <si>
    <t>3. Add 'NetRevenue' in col N = GrossRevenue − DiscountAmt</t>
  </si>
  <si>
    <t>💡 =L2-M2</t>
  </si>
  <si>
    <t>4. Add 'PerformanceTag' in col O using IF:
   NetRevenue &gt; 500000 → 'High'  |  &gt; 200000 → 'Medium'  |  else → 'Low'</t>
  </si>
  <si>
    <t>💡 =IFS(N2&gt;500000,"High",N2&gt;200000,"Medium",TRUE,"Low")</t>
  </si>
  <si>
    <t>5. Add 'RatingGrade' in col P using IF:
   Rating ≥ 4.5 → 'Excellent'  |  ≥ 3.5 → 'Good'  |  else → 'Poor'</t>
  </si>
  <si>
    <t>💡 =IF(I2&gt;=4.5,"Excellent",IF(I2&gt;=3.5,"Good","Poor"))</t>
  </si>
  <si>
    <t>6. In col Q, label Returned orders: IF Returned = 'Yes' → 'Returned' else 'Kept'</t>
  </si>
  <si>
    <t>💡 =IF(K2="Yes","Returned","Kept")</t>
  </si>
  <si>
    <t>📊 SECTION 2 — SUBTOTAL  (work in: Summary &amp; Subtotal sheet)</t>
  </si>
  <si>
    <t>7. Use SUBTOTAL(9,...) to SUM all NetRevenue</t>
  </si>
  <si>
    <t>💡 =SUBTOTAL(9,'Store Sales Data'!N2:N21)</t>
  </si>
  <si>
    <t>8. Use SUBTOTAL(103,...) to COUNT non-empty OrderIDs</t>
  </si>
  <si>
    <t>💡 =SUBTOTAL(103,'Store Sales Data'!A2:A21)</t>
  </si>
  <si>
    <t>9. Use SUBTOTAL(1,...) to find AVERAGE CustomerRating</t>
  </si>
  <si>
    <t>💡 =SUBTOTAL(1,'Store Sales Data'!I2:I21)</t>
  </si>
  <si>
    <t>10. Use SUBTOTAL(4,...) for MAX NetRevenue and SUBTOTAL(5,...) for MIN DeliveryDays</t>
  </si>
  <si>
    <t>💡 Two separate formulas</t>
  </si>
  <si>
    <t>11. Go to Store Sales Data → apply a Filter (Ctrl+Shift+L) → filter Category = 'Electronics'
    Now check: does your SUBTOTAL sum change? (it should — that's the power of SUBTOTAL!)</t>
  </si>
  <si>
    <t>💡 Filter → observe SUBTOTAL updating</t>
  </si>
  <si>
    <t>⚙️ SECTION 3 — AGGREGATE  (work in: Summary &amp; Subtotal sheet)</t>
  </si>
  <si>
    <t>12. Use AGGREGATE(9,5,...) to SUM NetRevenue ignoring any errors</t>
  </si>
  <si>
    <t>💡 =AGGREGATE(9,5,'Store Sales Data'!N2:N21)</t>
  </si>
  <si>
    <t>13. Use AGGREGATE(1,7,...) to AVERAGE CustomerRating ignoring hidden rows AND errors</t>
  </si>
  <si>
    <t>💡 =AGGREGATE(1,7,'Store Sales Data'!I2:I21)</t>
  </si>
  <si>
    <t>14. Use AGGREGATE(14,6,NetRevenue,1) to find the LARGEST value (rank 1) — function 14 = LARGE</t>
  </si>
  <si>
    <t>💡 =AGGREGATE(14,6,'Store Sales Data'!N2:N21,1)</t>
  </si>
  <si>
    <t>🎨 SECTION 4 — Conditional Formatting  (work in: Conditional Formatting sheet)</t>
  </si>
  <si>
    <t>15. Remove the existing Color Scale on B3:D10 then re-apply it yourself</t>
  </si>
  <si>
    <t>💡 CF → Manage Rules → Delete → re-add Color Scale</t>
  </si>
  <si>
    <t>16. Apply Data Bars to the Total column (E3:E10)</t>
  </si>
  <si>
    <t>💡 CF → Data Bars → choose any colour</t>
  </si>
  <si>
    <t>17. Highlight Rating (F3:F10) below 3.5 in RED bold</t>
  </si>
  <si>
    <t>💡 CF → Highlight Cell Rules → Less Than</t>
  </si>
  <si>
    <t>18. Apply Icon Set (3 traffic lights) to Rating column (F3:F10)</t>
  </si>
  <si>
    <t>💡 CF → Icon Sets → 3 Traffic Lights</t>
  </si>
  <si>
    <t>19. Highlight TOP 3 Total values in green</t>
  </si>
  <si>
    <t>💡 CF → Top/Bottom Rules → Top 10 Items → set to 3</t>
  </si>
  <si>
    <t>20. Formula rule: highlight entire row grey if Status = 'Inactive'
    Formula: =$G3="Inactive"  applied to range A3:G10</t>
  </si>
  <si>
    <t>💡 CF → New Rule → Use formula</t>
  </si>
  <si>
    <t>🔄 SECTION 5 — Pivot Tables  (create in new sheets)</t>
  </si>
  <si>
    <t>21. Create Pivot 1: Total NetRevenue grouped by SalesPerson</t>
  </si>
  <si>
    <t>💡 Rows=SalesPerson, Values=Sum NetRevenue</t>
  </si>
  <si>
    <t>22. Create Pivot 2: Count of Orders by Category</t>
  </si>
  <si>
    <t>💡 Rows=Category, Values=Count OrderID</t>
  </si>
  <si>
    <t>23. Create Pivot 3: Average CustomerRating by Region</t>
  </si>
  <si>
    <t>💡 Rows=Region, Values=Average Rating</t>
  </si>
  <si>
    <t>24. Create Pivot 4: Cross-tab — NetRevenue by Category (rows) vs Region (columns)</t>
  </si>
  <si>
    <t>💡 Rows=Category, Columns=Region, Values=Sum NetRevenue</t>
  </si>
  <si>
    <t>25. On any pivot: add a Slicer for the Category field</t>
  </si>
  <si>
    <t>💡 PivotTable Analyze → Insert Slicer</t>
  </si>
  <si>
    <t>26. On any pivot: change SUM to AVERAGE in Value Field Settings</t>
  </si>
  <si>
    <t>💡 Right-click value → Value Field Settings → Average</t>
  </si>
  <si>
    <t>27. On any pivot: Sort by NetRevenue descending</t>
  </si>
  <si>
    <t>💡 Click dropdown on row label → Sort Largest to Smallest</t>
  </si>
  <si>
    <t>28. Insert a PivotChart (bar chart) from your Pivot 1</t>
  </si>
  <si>
    <t>💡 PivotTable Analyze tab → PivotChart → Bar</t>
  </si>
  <si>
    <t>🏆 BONUS CHALLENGES</t>
  </si>
  <si>
    <t>29. COUNTIFS: Count orders where Category='Electronics' AND Region='North'</t>
  </si>
  <si>
    <t>💡 =COUNTIFS(C:C,"Electronics",D:D,"North")</t>
  </si>
  <si>
    <t>30. SUMIFS: Sum NetRevenue where SalesPerson='Rohit Kumar' AND Month='Mar'</t>
  </si>
  <si>
    <t>💡 =SUMIFS(N:N,B:B,"Rohit Kumar",E:E,"Mar")</t>
  </si>
  <si>
    <t xml:space="preserve">Return or not </t>
  </si>
  <si>
    <t>AVG</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</si>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</sst>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Arial"/>
    </font>
    <font>
      <sz val="10"/>
      <name val="Arial"/>
    </font>
    <font>
      <b/>
      <sz val="13"/>
      <color rgb="FFFFFFFF"/>
      <name val="Arial"/>
    </font>
    <font>
      <b/>
      <sz val="11"/>
      <color rgb="FF1565C0"/>
      <name val="Arial"/>
    </font>
    <font>
      <sz val="10"/>
      <color rgb="FF37474F"/>
      <name val="Arial"/>
    </font>
    <font>
      <b/>
      <sz val="10"/>
      <color rgb="FFE65100"/>
      <name val="Arial"/>
    </font>
    <font>
      <b/>
      <sz val="11"/>
      <color rgb="FF6A1B9A"/>
      <name val="Arial"/>
    </font>
    <font>
      <b/>
      <sz val="10"/>
      <color rgb="FF37474F"/>
      <name val="Arial"/>
    </font>
    <font>
      <b/>
      <sz val="11"/>
      <color rgb="FFE65100"/>
      <name val="Arial"/>
    </font>
    <font>
      <b/>
      <sz val="14"/>
      <color rgb="FFFFFFFF"/>
      <name val="Arial"/>
    </font>
    <font>
      <i/>
      <sz val="9"/>
      <color rgb="FFE65100"/>
      <name val="Arial"/>
    </font>
    <font>
      <sz val="11"/>
      <color rgb="FF9E9E9E"/>
      <name val="Arial"/>
    </font>
    <font>
      <b/>
      <sz val="11"/>
      <color theme="1"/>
      <name val="Calibri"/>
      <family val="2"/>
      <scheme val="minor"/>
    </font>
    <font>
      <sz val="10"/>
      <name val="Arial"/>
      <family val="2"/>
    </font>
  </fonts>
  <fills count="22">
    <fill>
      <patternFill patternType="none"/>
    </fill>
    <fill>
      <patternFill patternType="gray125"/>
    </fill>
    <fill>
      <patternFill patternType="solid">
        <fgColor rgb="FF217346"/>
        <bgColor rgb="FF217346"/>
      </patternFill>
    </fill>
    <fill>
      <patternFill patternType="solid">
        <fgColor rgb="FFE8F5E9"/>
        <bgColor rgb="FFE8F5E9"/>
      </patternFill>
    </fill>
    <fill>
      <patternFill patternType="solid">
        <fgColor rgb="FF1565C0"/>
        <bgColor rgb="FF1565C0"/>
      </patternFill>
    </fill>
    <fill>
      <patternFill patternType="solid">
        <fgColor rgb="FF00695C"/>
        <bgColor rgb="FF00695C"/>
      </patternFill>
    </fill>
    <fill>
      <patternFill patternType="solid">
        <fgColor rgb="FFFFFFFF"/>
        <bgColor rgb="FFFFFFFF"/>
      </patternFill>
    </fill>
    <fill>
      <patternFill patternType="solid">
        <fgColor rgb="FFECEFF1"/>
        <bgColor rgb="FFECEFF1"/>
      </patternFill>
    </fill>
    <fill>
      <patternFill patternType="solid">
        <fgColor rgb="FFFFF9C4"/>
        <bgColor rgb="FFFFF9C4"/>
      </patternFill>
    </fill>
    <fill>
      <patternFill patternType="solid">
        <fgColor rgb="FFF3E5F5"/>
        <bgColor rgb="FFF3E5F5"/>
      </patternFill>
    </fill>
    <fill>
      <patternFill patternType="solid">
        <fgColor rgb="FFE65100"/>
        <bgColor rgb="FFE65100"/>
      </patternFill>
    </fill>
    <fill>
      <patternFill patternType="solid">
        <fgColor rgb="FF6A1B9A"/>
        <bgColor rgb="FF6A1B9A"/>
      </patternFill>
    </fill>
    <fill>
      <patternFill patternType="solid">
        <fgColor rgb="FFE3F2FD"/>
        <bgColor rgb="FFE3F2FD"/>
      </patternFill>
    </fill>
    <fill>
      <patternFill patternType="solid">
        <fgColor theme="3"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249977111117893"/>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top style="thin">
        <color rgb="FFCCCCCC"/>
      </top>
      <bottom style="thin">
        <color rgb="FFCCCCCC"/>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0" fillId="8" borderId="1" xfId="0" applyFill="1" applyBorder="1"/>
    <xf numFmtId="0" fontId="5" fillId="7"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8" fillId="9" borderId="1" xfId="0" applyFont="1" applyFill="1" applyBorder="1" applyAlignment="1">
      <alignment horizontal="left" vertical="center"/>
    </xf>
    <xf numFmtId="0" fontId="2" fillId="7"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0" borderId="1" xfId="0" applyFont="1" applyBorder="1" applyAlignment="1">
      <alignment vertical="top" wrapText="1"/>
    </xf>
    <xf numFmtId="0" fontId="11" fillId="8" borderId="1" xfId="0" applyFont="1" applyFill="1" applyBorder="1" applyAlignment="1">
      <alignment vertical="top" wrapText="1"/>
    </xf>
    <xf numFmtId="0" fontId="12" fillId="0" borderId="1" xfId="0" applyFont="1" applyBorder="1" applyAlignment="1">
      <alignment horizontal="center" vertical="center"/>
    </xf>
    <xf numFmtId="0" fontId="5" fillId="7" borderId="1" xfId="0" applyFont="1" applyFill="1" applyBorder="1" applyAlignment="1">
      <alignment horizontal="left" vertical="center" wrapText="1"/>
    </xf>
    <xf numFmtId="0" fontId="0" fillId="0" borderId="0" xfId="0"/>
    <xf numFmtId="0" fontId="7" fillId="0" borderId="1" xfId="0" applyFont="1" applyBorder="1" applyAlignment="1">
      <alignment horizontal="left" vertical="center"/>
    </xf>
    <xf numFmtId="0" fontId="0" fillId="0" borderId="2" xfId="0" applyBorder="1"/>
    <xf numFmtId="0" fontId="0" fillId="0" borderId="3" xfId="0" applyBorder="1"/>
    <xf numFmtId="0" fontId="6" fillId="0" borderId="1" xfId="0" applyFont="1" applyBorder="1" applyAlignment="1">
      <alignment horizontal="left" vertical="center" wrapText="1"/>
    </xf>
    <xf numFmtId="0" fontId="3" fillId="5"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12" borderId="1" xfId="0" applyFont="1" applyFill="1" applyBorder="1" applyAlignment="1">
      <alignment horizontal="left" vertical="center"/>
    </xf>
    <xf numFmtId="0" fontId="5" fillId="9" borderId="1" xfId="0" applyFont="1" applyFill="1" applyBorder="1" applyAlignment="1">
      <alignment horizontal="left" vertical="center" wrapText="1"/>
    </xf>
    <xf numFmtId="0" fontId="9" fillId="0" borderId="1" xfId="0" applyFont="1" applyBorder="1" applyAlignment="1">
      <alignment horizontal="left" vertical="center" wrapText="1"/>
    </xf>
    <xf numFmtId="0" fontId="5" fillId="6" borderId="1" xfId="0" applyFont="1" applyFill="1" applyBorder="1" applyAlignment="1">
      <alignment horizontal="left" vertical="center"/>
    </xf>
    <xf numFmtId="0" fontId="3" fillId="11"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5" borderId="0" xfId="0" applyFont="1" applyFill="1" applyAlignment="1">
      <alignment horizontal="left" vertical="center" indent="1"/>
    </xf>
    <xf numFmtId="0" fontId="5" fillId="3" borderId="1"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0" borderId="5" xfId="0" applyFont="1" applyBorder="1" applyAlignment="1">
      <alignment horizontal="center" vertical="center"/>
    </xf>
    <xf numFmtId="0" fontId="1" fillId="4" borderId="4" xfId="0" applyFont="1" applyFill="1" applyBorder="1" applyAlignment="1">
      <alignment horizontal="center" vertical="center" wrapText="1"/>
    </xf>
    <xf numFmtId="0" fontId="0" fillId="0" borderId="4" xfId="0" applyBorder="1"/>
    <xf numFmtId="0" fontId="13" fillId="13" borderId="4" xfId="0" applyFont="1" applyFill="1" applyBorder="1"/>
    <xf numFmtId="0" fontId="13" fillId="14" borderId="4" xfId="0" applyFont="1" applyFill="1" applyBorder="1"/>
    <xf numFmtId="0" fontId="13" fillId="15" borderId="4" xfId="0" applyFont="1" applyFill="1" applyBorder="1"/>
    <xf numFmtId="0" fontId="13" fillId="16" borderId="0" xfId="0" applyFont="1" applyFill="1"/>
    <xf numFmtId="0" fontId="13" fillId="17" borderId="4" xfId="0" applyFont="1" applyFill="1" applyBorder="1"/>
    <xf numFmtId="0" fontId="13" fillId="18" borderId="4" xfId="0" applyFont="1" applyFill="1" applyBorder="1"/>
    <xf numFmtId="0" fontId="13" fillId="19" borderId="4" xfId="0" applyFont="1" applyFill="1" applyBorder="1"/>
    <xf numFmtId="0" fontId="13" fillId="20" borderId="4" xfId="0" applyFont="1" applyFill="1" applyBorder="1"/>
    <xf numFmtId="0" fontId="13" fillId="21" borderId="4" xfId="0" applyFont="1" applyFill="1" applyBorder="1"/>
    <xf numFmtId="0" fontId="14"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6">
    <dxf>
      <font>
        <color rgb="FFFFFF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0"/>
        <color rgb="FFC62828"/>
        <name val="Arial"/>
      </font>
      <fill>
        <patternFill patternType="solid">
          <fgColor rgb="FFFFCDD2"/>
          <bgColor rgb="FFFFCDD2"/>
        </patternFill>
      </fill>
    </dxf>
    <dxf>
      <font>
        <i/>
        <sz val="10"/>
        <color rgb="FF78909C"/>
        <name val="Arial"/>
      </font>
      <fill>
        <patternFill patternType="solid">
          <fgColor rgb="FFFFF9C4"/>
          <bgColor rgb="FFFFF9C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[Excel_Practice_2.xlsx]Sheet1!PivotTable1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5870516185476"/>
          <c:y val="0.2572178477690289"/>
          <c:w val="0.73569685039370081"/>
          <c:h val="0.65853091280256637"/>
        </c:manualLayout>
      </c:layout>
      <c:barChart>
        <c:barDir val="col"/>
        <c:grouping val="clustered"/>
        <c:varyColors val="0"/>
        <c:ser>
          <c:idx val="0"/>
          <c:order val="0"/>
          <c:tx>
            <c:strRef>
              <c:f>Sheet1!$B$3:$B$4</c:f>
              <c:strCache>
                <c:ptCount val="1"/>
                <c:pt idx="0">
                  <c:v>Jan</c:v>
                </c:pt>
              </c:strCache>
            </c:strRef>
          </c:tx>
          <c:spPr>
            <a:solidFill>
              <a:schemeClr val="accent1"/>
            </a:solidFill>
            <a:ln>
              <a:noFill/>
            </a:ln>
            <a:effectLst/>
          </c:spPr>
          <c:invertIfNegative val="0"/>
          <c:cat>
            <c:strRef>
              <c:f>Sheet1!$A$5:$A$10</c:f>
              <c:strCache>
                <c:ptCount val="5"/>
                <c:pt idx="0">
                  <c:v>Aarav Shah</c:v>
                </c:pt>
                <c:pt idx="1">
                  <c:v>Karan Mehta</c:v>
                </c:pt>
                <c:pt idx="2">
                  <c:v>Priya Reddy</c:v>
                </c:pt>
                <c:pt idx="3">
                  <c:v>Rohit Kumar</c:v>
                </c:pt>
                <c:pt idx="4">
                  <c:v>Sneha Iyer</c:v>
                </c:pt>
              </c:strCache>
            </c:strRef>
          </c:cat>
          <c:val>
            <c:numRef>
              <c:f>Sheet1!$B$5:$B$10</c:f>
              <c:numCache>
                <c:formatCode>General</c:formatCode>
                <c:ptCount val="5"/>
                <c:pt idx="1">
                  <c:v>47357.5</c:v>
                </c:pt>
                <c:pt idx="2">
                  <c:v>41880</c:v>
                </c:pt>
              </c:numCache>
            </c:numRef>
          </c:val>
          <c:extLst>
            <c:ext xmlns:c16="http://schemas.microsoft.com/office/drawing/2014/chart" uri="{C3380CC4-5D6E-409C-BE32-E72D297353CC}">
              <c16:uniqueId val="{00000000-9B0D-488A-8CF9-27C91A1EE5CE}"/>
            </c:ext>
          </c:extLst>
        </c:ser>
        <c:ser>
          <c:idx val="1"/>
          <c:order val="1"/>
          <c:tx>
            <c:strRef>
              <c:f>Sheet1!$C$3:$C$4</c:f>
              <c:strCache>
                <c:ptCount val="1"/>
                <c:pt idx="0">
                  <c:v>Feb</c:v>
                </c:pt>
              </c:strCache>
            </c:strRef>
          </c:tx>
          <c:spPr>
            <a:solidFill>
              <a:schemeClr val="accent2"/>
            </a:solidFill>
            <a:ln>
              <a:noFill/>
            </a:ln>
            <a:effectLst/>
          </c:spPr>
          <c:invertIfNegative val="0"/>
          <c:cat>
            <c:strRef>
              <c:f>Sheet1!$A$5:$A$10</c:f>
              <c:strCache>
                <c:ptCount val="5"/>
                <c:pt idx="0">
                  <c:v>Aarav Shah</c:v>
                </c:pt>
                <c:pt idx="1">
                  <c:v>Karan Mehta</c:v>
                </c:pt>
                <c:pt idx="2">
                  <c:v>Priya Reddy</c:v>
                </c:pt>
                <c:pt idx="3">
                  <c:v>Rohit Kumar</c:v>
                </c:pt>
                <c:pt idx="4">
                  <c:v>Sneha Iyer</c:v>
                </c:pt>
              </c:strCache>
            </c:strRef>
          </c:cat>
          <c:val>
            <c:numRef>
              <c:f>Sheet1!$C$5:$C$10</c:f>
              <c:numCache>
                <c:formatCode>General</c:formatCode>
                <c:ptCount val="5"/>
                <c:pt idx="3">
                  <c:v>63000</c:v>
                </c:pt>
              </c:numCache>
            </c:numRef>
          </c:val>
          <c:extLst>
            <c:ext xmlns:c16="http://schemas.microsoft.com/office/drawing/2014/chart" uri="{C3380CC4-5D6E-409C-BE32-E72D297353CC}">
              <c16:uniqueId val="{00000001-9B0D-488A-8CF9-27C91A1EE5CE}"/>
            </c:ext>
          </c:extLst>
        </c:ser>
        <c:ser>
          <c:idx val="2"/>
          <c:order val="2"/>
          <c:tx>
            <c:strRef>
              <c:f>Sheet1!$D$3:$D$4</c:f>
              <c:strCache>
                <c:ptCount val="1"/>
                <c:pt idx="0">
                  <c:v>Mar</c:v>
                </c:pt>
              </c:strCache>
            </c:strRef>
          </c:tx>
          <c:spPr>
            <a:solidFill>
              <a:schemeClr val="accent3"/>
            </a:solidFill>
            <a:ln>
              <a:noFill/>
            </a:ln>
            <a:effectLst/>
          </c:spPr>
          <c:invertIfNegative val="0"/>
          <c:cat>
            <c:strRef>
              <c:f>Sheet1!$A$5:$A$10</c:f>
              <c:strCache>
                <c:ptCount val="5"/>
                <c:pt idx="0">
                  <c:v>Aarav Shah</c:v>
                </c:pt>
                <c:pt idx="1">
                  <c:v>Karan Mehta</c:v>
                </c:pt>
                <c:pt idx="2">
                  <c:v>Priya Reddy</c:v>
                </c:pt>
                <c:pt idx="3">
                  <c:v>Rohit Kumar</c:v>
                </c:pt>
                <c:pt idx="4">
                  <c:v>Sneha Iyer</c:v>
                </c:pt>
              </c:strCache>
            </c:strRef>
          </c:cat>
          <c:val>
            <c:numRef>
              <c:f>Sheet1!$D$5:$D$10</c:f>
              <c:numCache>
                <c:formatCode>General</c:formatCode>
                <c:ptCount val="5"/>
                <c:pt idx="0">
                  <c:v>30712</c:v>
                </c:pt>
                <c:pt idx="4">
                  <c:v>47840</c:v>
                </c:pt>
              </c:numCache>
            </c:numRef>
          </c:val>
          <c:extLst>
            <c:ext xmlns:c16="http://schemas.microsoft.com/office/drawing/2014/chart" uri="{C3380CC4-5D6E-409C-BE32-E72D297353CC}">
              <c16:uniqueId val="{00000002-9B0D-488A-8CF9-27C91A1EE5CE}"/>
            </c:ext>
          </c:extLst>
        </c:ser>
        <c:ser>
          <c:idx val="3"/>
          <c:order val="3"/>
          <c:tx>
            <c:strRef>
              <c:f>Sheet1!$E$3:$E$4</c:f>
              <c:strCache>
                <c:ptCount val="1"/>
                <c:pt idx="0">
                  <c:v>Apr</c:v>
                </c:pt>
              </c:strCache>
            </c:strRef>
          </c:tx>
          <c:spPr>
            <a:solidFill>
              <a:schemeClr val="accent4"/>
            </a:solidFill>
            <a:ln>
              <a:noFill/>
            </a:ln>
            <a:effectLst/>
          </c:spPr>
          <c:invertIfNegative val="0"/>
          <c:cat>
            <c:strRef>
              <c:f>Sheet1!$A$5:$A$10</c:f>
              <c:strCache>
                <c:ptCount val="5"/>
                <c:pt idx="0">
                  <c:v>Aarav Shah</c:v>
                </c:pt>
                <c:pt idx="1">
                  <c:v>Karan Mehta</c:v>
                </c:pt>
                <c:pt idx="2">
                  <c:v>Priya Reddy</c:v>
                </c:pt>
                <c:pt idx="3">
                  <c:v>Rohit Kumar</c:v>
                </c:pt>
                <c:pt idx="4">
                  <c:v>Sneha Iyer</c:v>
                </c:pt>
              </c:strCache>
            </c:strRef>
          </c:cat>
          <c:val>
            <c:numRef>
              <c:f>Sheet1!$E$5:$E$10</c:f>
              <c:numCache>
                <c:formatCode>General</c:formatCode>
                <c:ptCount val="5"/>
                <c:pt idx="2">
                  <c:v>58396</c:v>
                </c:pt>
                <c:pt idx="4">
                  <c:v>35986</c:v>
                </c:pt>
              </c:numCache>
            </c:numRef>
          </c:val>
          <c:extLst>
            <c:ext xmlns:c16="http://schemas.microsoft.com/office/drawing/2014/chart" uri="{C3380CC4-5D6E-409C-BE32-E72D297353CC}">
              <c16:uniqueId val="{00000003-9B0D-488A-8CF9-27C91A1EE5CE}"/>
            </c:ext>
          </c:extLst>
        </c:ser>
        <c:dLbls>
          <c:showLegendKey val="0"/>
          <c:showVal val="0"/>
          <c:showCatName val="0"/>
          <c:showSerName val="0"/>
          <c:showPercent val="0"/>
          <c:showBubbleSize val="0"/>
        </c:dLbls>
        <c:gapWidth val="219"/>
        <c:overlap val="-27"/>
        <c:axId val="1189269295"/>
        <c:axId val="1189271215"/>
      </c:barChart>
      <c:catAx>
        <c:axId val="11892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71215"/>
        <c:crosses val="autoZero"/>
        <c:auto val="1"/>
        <c:lblAlgn val="ctr"/>
        <c:lblOffset val="100"/>
        <c:noMultiLvlLbl val="0"/>
      </c:catAx>
      <c:valAx>
        <c:axId val="11892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259080</xdr:colOff>
      <xdr:row>2</xdr:row>
      <xdr:rowOff>68580</xdr:rowOff>
    </xdr:from>
    <xdr:to>
      <xdr:col>10</xdr:col>
      <xdr:colOff>310896</xdr:colOff>
      <xdr:row>15</xdr:row>
      <xdr:rowOff>158115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5CBB98C-DD32-7BEE-72D2-34BC93C4AF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33900" y="434340"/>
              <a:ext cx="1972056"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160020</xdr:colOff>
      <xdr:row>3</xdr:row>
      <xdr:rowOff>114300</xdr:rowOff>
    </xdr:from>
    <xdr:to>
      <xdr:col>21</xdr:col>
      <xdr:colOff>563880</xdr:colOff>
      <xdr:row>18</xdr:row>
      <xdr:rowOff>114300</xdr:rowOff>
    </xdr:to>
    <xdr:graphicFrame macro="">
      <xdr:nvGraphicFramePr>
        <xdr:cNvPr id="3" name="Chart 2">
          <a:extLst>
            <a:ext uri="{FF2B5EF4-FFF2-40B4-BE49-F238E27FC236}">
              <a16:creationId xmlns:a16="http://schemas.microsoft.com/office/drawing/2014/main" id="{512C45A1-F800-EE37-58A6-64478B474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l behera" refreshedDate="46174.388443055555" createdVersion="8" refreshedVersion="8" minRefreshableVersion="3" recordCount="20" xr:uid="{ED4059A1-3483-4D8E-BF15-CC3ED5124515}">
  <cacheSource type="worksheet">
    <worksheetSource ref="A1:Q21" sheet="Store Sales Data"/>
  </cacheSource>
  <cacheFields count="17">
    <cacheField name="OrderID" numFmtId="0">
      <sharedItems/>
    </cacheField>
    <cacheField name="SalesPerson" numFmtId="0">
      <sharedItems count="5">
        <s v="Aarav Shah"/>
        <s v="Priya Reddy"/>
        <s v="Rohit Kumar"/>
        <s v="Sneha Iyer"/>
        <s v="Karan Mehta"/>
      </sharedItems>
    </cacheField>
    <cacheField name="Category" numFmtId="0">
      <sharedItems count="3">
        <s v="Electronics"/>
        <s v="Clothing"/>
        <s v="Furniture"/>
      </sharedItems>
    </cacheField>
    <cacheField name="Region" numFmtId="0">
      <sharedItems/>
    </cacheField>
    <cacheField name="Month" numFmtId="0">
      <sharedItems count="4">
        <s v="Jan"/>
        <s v="Feb"/>
        <s v="Mar"/>
        <s v="Apr"/>
      </sharedItems>
    </cacheField>
    <cacheField name="Units" numFmtId="0">
      <sharedItems containsSemiMixedTypes="0" containsString="0" containsNumber="1" containsInteger="1" minValue="2" maxValue="60" count="20">
        <n v="12"/>
        <n v="35"/>
        <n v="8"/>
        <n v="5"/>
        <n v="50"/>
        <n v="15"/>
        <n v="3"/>
        <n v="42"/>
        <n v="20"/>
        <n v="7"/>
        <n v="28"/>
        <n v="4"/>
        <n v="18"/>
        <n v="60"/>
        <n v="10"/>
        <n v="6"/>
        <n v="45"/>
        <n v="2"/>
        <n v="38"/>
        <n v="14"/>
      </sharedItems>
    </cacheField>
    <cacheField name="UnitPrice" numFmtId="0">
      <sharedItems containsSemiMixedTypes="0" containsString="0" containsNumber="1" containsInteger="1" minValue="800" maxValue="71000"/>
    </cacheField>
    <cacheField name="Discount%" numFmtId="0">
      <sharedItems containsSemiMixedTypes="0" containsString="0" containsNumber="1" containsInteger="1" minValue="0" maxValue="20"/>
    </cacheField>
    <cacheField name="CustomerRating" numFmtId="0">
      <sharedItems containsSemiMixedTypes="0" containsString="0" containsNumber="1" minValue="3.2" maxValue="4.9000000000000004"/>
    </cacheField>
    <cacheField name="DeliveryDays" numFmtId="0">
      <sharedItems containsSemiMixedTypes="0" containsString="0" containsNumber="1" containsInteger="1" minValue="1" maxValue="9"/>
    </cacheField>
    <cacheField name="Returned" numFmtId="0">
      <sharedItems/>
    </cacheField>
    <cacheField name="GrossRevenue" numFmtId="0">
      <sharedItems containsSemiMixedTypes="0" containsString="0" containsNumber="1" containsInteger="1" minValue="30800" maxValue="1040000"/>
    </cacheField>
    <cacheField name="DiscountAmt" numFmtId="0">
      <sharedItems containsSemiMixedTypes="0" containsString="0" containsNumber="1" minValue="0" maxValue="2640"/>
    </cacheField>
    <cacheField name="NetRevenue" numFmtId="0">
      <sharedItems containsSemiMixedTypes="0" containsString="0" containsNumber="1" minValue="30712" maxValue="1037400"/>
    </cacheField>
    <cacheField name="PerformanceTag" numFmtId="0">
      <sharedItems/>
    </cacheField>
    <cacheField name="RatingGrade" numFmtId="0">
      <sharedItems/>
    </cacheField>
    <cacheField name="Return or not " numFmtId="0">
      <sharedItems/>
    </cacheField>
  </cacheFields>
  <extLst>
    <ext xmlns:x14="http://schemas.microsoft.com/office/spreadsheetml/2009/9/main" uri="{725AE2AE-9491-48be-B2B4-4EB974FC3084}">
      <x14:pivotCacheDefinition pivotCacheId="348242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x v="0"/>
    <x v="0"/>
    <s v="North"/>
    <x v="0"/>
    <x v="0"/>
    <n v="45000"/>
    <n v="5"/>
    <n v="4.5"/>
    <n v="3"/>
    <s v="No"/>
    <n v="540000"/>
    <n v="2250"/>
    <n v="537750"/>
    <s v="High"/>
    <s v="Good"/>
    <s v="Kept"/>
  </r>
  <r>
    <s v="ORD002"/>
    <x v="1"/>
    <x v="1"/>
    <s v="South"/>
    <x v="0"/>
    <x v="1"/>
    <n v="1200"/>
    <n v="10"/>
    <n v="3.8"/>
    <n v="5"/>
    <s v="No"/>
    <n v="42000"/>
    <n v="120"/>
    <n v="41880"/>
    <s v="Low"/>
    <s v="Good"/>
    <s v="Kept"/>
  </r>
  <r>
    <s v="ORD003"/>
    <x v="2"/>
    <x v="0"/>
    <s v="East"/>
    <x v="0"/>
    <x v="2"/>
    <n v="62000"/>
    <n v="0"/>
    <n v="4.8"/>
    <n v="2"/>
    <s v="No"/>
    <n v="496000"/>
    <n v="0"/>
    <n v="496000"/>
    <s v="Medium"/>
    <s v="Excellent"/>
    <s v="Kept"/>
  </r>
  <r>
    <s v="ORD004"/>
    <x v="3"/>
    <x v="2"/>
    <s v="West"/>
    <x v="0"/>
    <x v="3"/>
    <n v="18000"/>
    <n v="8"/>
    <n v="4.0999999999999996"/>
    <n v="7"/>
    <s v="Yes"/>
    <n v="90000"/>
    <n v="1440"/>
    <n v="88560"/>
    <s v="Low"/>
    <s v="Good"/>
    <s v="Returned"/>
  </r>
  <r>
    <s v="ORD005"/>
    <x v="4"/>
    <x v="1"/>
    <s v="North"/>
    <x v="0"/>
    <x v="4"/>
    <n v="950"/>
    <n v="15"/>
    <n v="3.5"/>
    <n v="4"/>
    <s v="No"/>
    <n v="47500"/>
    <n v="142.5"/>
    <n v="47357.5"/>
    <s v="Low"/>
    <s v="Poor"/>
    <s v="Kept"/>
  </r>
  <r>
    <s v="ORD006"/>
    <x v="1"/>
    <x v="0"/>
    <s v="South"/>
    <x v="1"/>
    <x v="5"/>
    <n v="38000"/>
    <n v="5"/>
    <n v="4.5999999999999996"/>
    <n v="3"/>
    <s v="No"/>
    <n v="570000"/>
    <n v="1900"/>
    <n v="568100"/>
    <s v="High"/>
    <s v="Excellent"/>
    <s v="Kept"/>
  </r>
  <r>
    <s v="ORD007"/>
    <x v="0"/>
    <x v="2"/>
    <s v="East"/>
    <x v="1"/>
    <x v="6"/>
    <n v="25000"/>
    <n v="10"/>
    <n v="3.9"/>
    <n v="8"/>
    <s v="No"/>
    <n v="75000"/>
    <n v="2500"/>
    <n v="72500"/>
    <s v="Low"/>
    <s v="Good"/>
    <s v="Kept"/>
  </r>
  <r>
    <s v="ORD008"/>
    <x v="2"/>
    <x v="1"/>
    <s v="West"/>
    <x v="1"/>
    <x v="7"/>
    <n v="1500"/>
    <n v="0"/>
    <n v="4.2"/>
    <n v="4"/>
    <s v="Yes"/>
    <n v="63000"/>
    <n v="0"/>
    <n v="63000"/>
    <s v="Low"/>
    <s v="Good"/>
    <s v="Returned"/>
  </r>
  <r>
    <s v="ORD009"/>
    <x v="3"/>
    <x v="0"/>
    <s v="North"/>
    <x v="1"/>
    <x v="8"/>
    <n v="52000"/>
    <n v="5"/>
    <n v="4.7"/>
    <n v="2"/>
    <s v="No"/>
    <n v="1040000"/>
    <n v="2600"/>
    <n v="1037400"/>
    <s v="High"/>
    <s v="Excellent"/>
    <s v="Kept"/>
  </r>
  <r>
    <s v="ORD010"/>
    <x v="4"/>
    <x v="2"/>
    <s v="South"/>
    <x v="1"/>
    <x v="9"/>
    <n v="22000"/>
    <n v="12"/>
    <n v="3.6"/>
    <n v="6"/>
    <s v="No"/>
    <n v="154000"/>
    <n v="2640"/>
    <n v="151360"/>
    <s v="Low"/>
    <s v="Good"/>
    <s v="Kept"/>
  </r>
  <r>
    <s v="ORD011"/>
    <x v="0"/>
    <x v="1"/>
    <s v="East"/>
    <x v="2"/>
    <x v="10"/>
    <n v="1100"/>
    <n v="8"/>
    <n v="4"/>
    <n v="5"/>
    <s v="No"/>
    <n v="30800"/>
    <n v="88"/>
    <n v="30712"/>
    <s v="Low"/>
    <s v="Good"/>
    <s v="Kept"/>
  </r>
  <r>
    <s v="ORD012"/>
    <x v="1"/>
    <x v="2"/>
    <s v="West"/>
    <x v="2"/>
    <x v="11"/>
    <n v="30000"/>
    <n v="0"/>
    <n v="4.4000000000000004"/>
    <n v="9"/>
    <s v="Yes"/>
    <n v="120000"/>
    <n v="0"/>
    <n v="120000"/>
    <s v="Low"/>
    <s v="Good"/>
    <s v="Returned"/>
  </r>
  <r>
    <s v="ORD013"/>
    <x v="2"/>
    <x v="0"/>
    <s v="North"/>
    <x v="2"/>
    <x v="12"/>
    <n v="48000"/>
    <n v="5"/>
    <n v="4.9000000000000004"/>
    <n v="2"/>
    <s v="No"/>
    <n v="864000"/>
    <n v="2400"/>
    <n v="861600"/>
    <s v="High"/>
    <s v="Excellent"/>
    <s v="Kept"/>
  </r>
  <r>
    <s v="ORD014"/>
    <x v="3"/>
    <x v="1"/>
    <s v="South"/>
    <x v="2"/>
    <x v="13"/>
    <n v="800"/>
    <n v="20"/>
    <n v="3.2"/>
    <n v="6"/>
    <s v="No"/>
    <n v="48000"/>
    <n v="160"/>
    <n v="47840"/>
    <s v="Low"/>
    <s v="Poor"/>
    <s v="Kept"/>
  </r>
  <r>
    <s v="ORD015"/>
    <x v="4"/>
    <x v="0"/>
    <s v="East"/>
    <x v="2"/>
    <x v="14"/>
    <n v="71000"/>
    <n v="0"/>
    <n v="4.8"/>
    <n v="1"/>
    <s v="No"/>
    <n v="710000"/>
    <n v="0"/>
    <n v="710000"/>
    <s v="High"/>
    <s v="Excellent"/>
    <s v="Kept"/>
  </r>
  <r>
    <s v="ORD016"/>
    <x v="0"/>
    <x v="2"/>
    <s v="West"/>
    <x v="3"/>
    <x v="15"/>
    <n v="19000"/>
    <n v="10"/>
    <n v="4.0999999999999996"/>
    <n v="7"/>
    <s v="No"/>
    <n v="114000"/>
    <n v="1900"/>
    <n v="112100"/>
    <s v="Low"/>
    <s v="Good"/>
    <s v="Kept"/>
  </r>
  <r>
    <s v="ORD017"/>
    <x v="1"/>
    <x v="1"/>
    <s v="North"/>
    <x v="3"/>
    <x v="16"/>
    <n v="1300"/>
    <n v="8"/>
    <n v="3.7"/>
    <n v="4"/>
    <s v="Yes"/>
    <n v="58500"/>
    <n v="104"/>
    <n v="58396"/>
    <s v="Low"/>
    <s v="Good"/>
    <s v="Returned"/>
  </r>
  <r>
    <s v="ORD018"/>
    <x v="2"/>
    <x v="2"/>
    <s v="South"/>
    <x v="3"/>
    <x v="17"/>
    <n v="35000"/>
    <n v="5"/>
    <n v="4.5"/>
    <n v="8"/>
    <s v="No"/>
    <n v="70000"/>
    <n v="1750"/>
    <n v="68250"/>
    <s v="Low"/>
    <s v="Good"/>
    <s v="Kept"/>
  </r>
  <r>
    <s v="ORD019"/>
    <x v="3"/>
    <x v="1"/>
    <s v="East"/>
    <x v="3"/>
    <x v="18"/>
    <n v="950"/>
    <n v="12"/>
    <n v="3.4"/>
    <n v="5"/>
    <s v="No"/>
    <n v="36100"/>
    <n v="114"/>
    <n v="35986"/>
    <s v="Low"/>
    <s v="Poor"/>
    <s v="Kept"/>
  </r>
  <r>
    <s v="ORD020"/>
    <x v="4"/>
    <x v="0"/>
    <s v="West"/>
    <x v="3"/>
    <x v="19"/>
    <n v="55000"/>
    <n v="0"/>
    <n v="4.7"/>
    <n v="2"/>
    <s v="No"/>
    <n v="770000"/>
    <n v="0"/>
    <n v="770000"/>
    <s v="High"/>
    <s v="Excellent"/>
    <s v="Kep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C0FA5-3CF9-43F4-8B82-9B337B231F8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0" firstHeaderRow="1" firstDataRow="2" firstDataCol="1"/>
  <pivotFields count="17">
    <pivotField showAll="0"/>
    <pivotField axis="axisRow" showAll="0">
      <items count="6">
        <item x="0"/>
        <item x="4"/>
        <item x="1"/>
        <item x="2"/>
        <item x="3"/>
        <item t="default"/>
      </items>
    </pivotField>
    <pivotField showAll="0">
      <items count="4">
        <item x="1"/>
        <item h="1" x="0"/>
        <item h="1" x="2"/>
        <item t="default"/>
      </items>
    </pivotField>
    <pivotField showAll="0"/>
    <pivotField axis="axisCol" showAll="0">
      <items count="5">
        <item x="0"/>
        <item x="1"/>
        <item x="2"/>
        <item x="3"/>
        <item t="default"/>
      </items>
    </pivotField>
    <pivotField showAll="0">
      <items count="21">
        <item x="17"/>
        <item x="6"/>
        <item x="11"/>
        <item x="3"/>
        <item x="15"/>
        <item x="9"/>
        <item x="2"/>
        <item x="14"/>
        <item x="0"/>
        <item x="19"/>
        <item x="5"/>
        <item x="12"/>
        <item x="8"/>
        <item x="10"/>
        <item x="1"/>
        <item x="18"/>
        <item x="7"/>
        <item x="16"/>
        <item x="4"/>
        <item x="13"/>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4"/>
  </colFields>
  <colItems count="5">
    <i>
      <x/>
    </i>
    <i>
      <x v="1"/>
    </i>
    <i>
      <x v="2"/>
    </i>
    <i>
      <x v="3"/>
    </i>
    <i t="grand">
      <x/>
    </i>
  </colItems>
  <dataFields count="1">
    <dataField name="Sum of NetRevenue" fld="13"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928591-B1C5-406B-A3B4-46EA36B833FD}" sourceName="Category">
  <pivotTables>
    <pivotTable tabId="6" name="PivotTable1"/>
  </pivotTables>
  <data>
    <tabular pivotCacheId="348242526">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B4FD2BD-7270-434C-97A7-AECEAC9AF6F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3DC1-9F33-4E4F-BC41-2C786A81D32C}">
  <dimension ref="A3:F10"/>
  <sheetViews>
    <sheetView tabSelected="1" workbookViewId="0">
      <selection activeCell="L5" sqref="L5"/>
    </sheetView>
  </sheetViews>
  <sheetFormatPr defaultRowHeight="14.4" x14ac:dyDescent="0.3"/>
  <cols>
    <col min="1" max="1" width="18" bestFit="1" customWidth="1"/>
    <col min="2" max="2" width="15.5546875" bestFit="1" customWidth="1"/>
    <col min="3" max="5" width="6" bestFit="1" customWidth="1"/>
    <col min="6" max="6" width="10.77734375" bestFit="1" customWidth="1"/>
    <col min="7" max="13" width="7" bestFit="1" customWidth="1"/>
    <col min="14" max="14" width="8" bestFit="1" customWidth="1"/>
    <col min="15" max="19" width="6" bestFit="1" customWidth="1"/>
    <col min="20" max="20" width="8" bestFit="1" customWidth="1"/>
    <col min="21" max="21" width="6" bestFit="1" customWidth="1"/>
    <col min="22" max="22" width="10.77734375" bestFit="1" customWidth="1"/>
  </cols>
  <sheetData>
    <row r="3" spans="1:6" x14ac:dyDescent="0.3">
      <c r="A3" s="59" t="s">
        <v>155</v>
      </c>
      <c r="B3" s="59" t="s">
        <v>259</v>
      </c>
    </row>
    <row r="4" spans="1:6" x14ac:dyDescent="0.3">
      <c r="A4" s="59" t="s">
        <v>257</v>
      </c>
      <c r="B4" t="s">
        <v>20</v>
      </c>
      <c r="C4" t="s">
        <v>37</v>
      </c>
      <c r="D4" t="s">
        <v>43</v>
      </c>
      <c r="E4" t="s">
        <v>49</v>
      </c>
      <c r="F4" t="s">
        <v>258</v>
      </c>
    </row>
    <row r="5" spans="1:6" x14ac:dyDescent="0.3">
      <c r="A5" s="60" t="s">
        <v>17</v>
      </c>
      <c r="B5" s="61"/>
      <c r="C5" s="61"/>
      <c r="D5" s="61">
        <v>30712</v>
      </c>
      <c r="E5" s="61"/>
      <c r="F5" s="61">
        <v>30712</v>
      </c>
    </row>
    <row r="6" spans="1:6" x14ac:dyDescent="0.3">
      <c r="A6" s="60" t="s">
        <v>35</v>
      </c>
      <c r="B6" s="61">
        <v>47357.5</v>
      </c>
      <c r="C6" s="61"/>
      <c r="D6" s="61"/>
      <c r="E6" s="61"/>
      <c r="F6" s="61">
        <v>47357.5</v>
      </c>
    </row>
    <row r="7" spans="1:6" x14ac:dyDescent="0.3">
      <c r="A7" s="60" t="s">
        <v>23</v>
      </c>
      <c r="B7" s="61">
        <v>41880</v>
      </c>
      <c r="C7" s="61"/>
      <c r="D7" s="61"/>
      <c r="E7" s="61">
        <v>58396</v>
      </c>
      <c r="F7" s="61">
        <v>100276</v>
      </c>
    </row>
    <row r="8" spans="1:6" x14ac:dyDescent="0.3">
      <c r="A8" s="60" t="s">
        <v>27</v>
      </c>
      <c r="B8" s="61"/>
      <c r="C8" s="61">
        <v>63000</v>
      </c>
      <c r="D8" s="61"/>
      <c r="E8" s="61"/>
      <c r="F8" s="61">
        <v>63000</v>
      </c>
    </row>
    <row r="9" spans="1:6" x14ac:dyDescent="0.3">
      <c r="A9" s="60" t="s">
        <v>30</v>
      </c>
      <c r="B9" s="61"/>
      <c r="C9" s="61"/>
      <c r="D9" s="61">
        <v>47840</v>
      </c>
      <c r="E9" s="61">
        <v>35986</v>
      </c>
      <c r="F9" s="61">
        <v>83826</v>
      </c>
    </row>
    <row r="10" spans="1:6" x14ac:dyDescent="0.3">
      <c r="A10" s="60" t="s">
        <v>258</v>
      </c>
      <c r="B10" s="61">
        <v>89237.5</v>
      </c>
      <c r="C10" s="61">
        <v>63000</v>
      </c>
      <c r="D10" s="61">
        <v>78552</v>
      </c>
      <c r="E10" s="61">
        <v>94382</v>
      </c>
      <c r="F10" s="61">
        <v>325171.5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workbookViewId="0">
      <pane ySplit="1" topLeftCell="A2" activePane="bottomLeft" state="frozen"/>
      <selection pane="bottomLeft" sqref="A1:Q21"/>
    </sheetView>
  </sheetViews>
  <sheetFormatPr defaultRowHeight="14.4" x14ac:dyDescent="0.3"/>
  <cols>
    <col min="1" max="1" width="10" customWidth="1"/>
    <col min="2" max="2" width="15" customWidth="1"/>
    <col min="3" max="3" width="13" customWidth="1"/>
    <col min="4" max="4" width="9" customWidth="1"/>
    <col min="5" max="6" width="8" customWidth="1"/>
    <col min="7" max="7" width="11" customWidth="1"/>
    <col min="8" max="8" width="11.44140625" bestFit="1" customWidth="1"/>
    <col min="9" max="9" width="16.88671875" bestFit="1" customWidth="1"/>
    <col min="10" max="10" width="14.21875" bestFit="1" customWidth="1"/>
    <col min="11" max="11" width="10" customWidth="1"/>
    <col min="12" max="12" width="19.21875" customWidth="1"/>
    <col min="13" max="14" width="15" customWidth="1"/>
    <col min="15" max="15" width="18.5546875" customWidth="1"/>
    <col min="16" max="16" width="15" customWidth="1"/>
    <col min="17" max="17" width="21.77734375" customWidth="1"/>
    <col min="18" max="18" width="17" customWidth="1"/>
  </cols>
  <sheetData>
    <row r="1" spans="1:17" ht="22.05" customHeight="1" x14ac:dyDescent="0.3">
      <c r="A1" s="1" t="s">
        <v>0</v>
      </c>
      <c r="B1" s="1" t="s">
        <v>1</v>
      </c>
      <c r="C1" s="1" t="s">
        <v>2</v>
      </c>
      <c r="D1" s="1" t="s">
        <v>3</v>
      </c>
      <c r="E1" s="1" t="s">
        <v>4</v>
      </c>
      <c r="F1" s="1" t="s">
        <v>5</v>
      </c>
      <c r="G1" s="1" t="s">
        <v>6</v>
      </c>
      <c r="H1" s="1" t="s">
        <v>7</v>
      </c>
      <c r="I1" s="1" t="s">
        <v>8</v>
      </c>
      <c r="J1" s="1" t="s">
        <v>9</v>
      </c>
      <c r="K1" s="44" t="s">
        <v>10</v>
      </c>
      <c r="L1" s="47" t="s">
        <v>11</v>
      </c>
      <c r="M1" s="47" t="s">
        <v>12</v>
      </c>
      <c r="N1" s="47" t="s">
        <v>13</v>
      </c>
      <c r="O1" s="47" t="s">
        <v>14</v>
      </c>
      <c r="P1" s="47" t="s">
        <v>15</v>
      </c>
      <c r="Q1" s="47" t="s">
        <v>255</v>
      </c>
    </row>
    <row r="2" spans="1:17" x14ac:dyDescent="0.3">
      <c r="A2" s="3" t="s">
        <v>16</v>
      </c>
      <c r="B2" s="3" t="s">
        <v>17</v>
      </c>
      <c r="C2" s="3" t="s">
        <v>18</v>
      </c>
      <c r="D2" s="3" t="s">
        <v>19</v>
      </c>
      <c r="E2" s="3" t="s">
        <v>20</v>
      </c>
      <c r="F2" s="3">
        <v>12</v>
      </c>
      <c r="G2" s="3">
        <v>45000</v>
      </c>
      <c r="H2" s="3">
        <v>5</v>
      </c>
      <c r="I2" s="3">
        <v>4.5</v>
      </c>
      <c r="J2" s="3">
        <v>3</v>
      </c>
      <c r="K2" s="45" t="s">
        <v>21</v>
      </c>
      <c r="L2" s="48">
        <f>F2*G2</f>
        <v>540000</v>
      </c>
      <c r="M2" s="48">
        <f>G2*H2/100</f>
        <v>2250</v>
      </c>
      <c r="N2" s="48">
        <f>L2-M2</f>
        <v>537750</v>
      </c>
      <c r="O2" s="48" t="str">
        <f>IF(N2&gt;500000,"High",IF(N2&gt;200000,"Medium","Low"))</f>
        <v>High</v>
      </c>
      <c r="P2" s="48" t="str">
        <f>IF(I2&gt;4.5,"Excellent",IF(I2&gt;3.5,"Good","Poor"))</f>
        <v>Good</v>
      </c>
      <c r="Q2" s="48" t="str">
        <f>IF(K2="Yes","Returned","Kept")</f>
        <v>Kept</v>
      </c>
    </row>
    <row r="3" spans="1:17" x14ac:dyDescent="0.3">
      <c r="A3" s="4" t="s">
        <v>22</v>
      </c>
      <c r="B3" s="4" t="s">
        <v>23</v>
      </c>
      <c r="C3" s="4" t="s">
        <v>24</v>
      </c>
      <c r="D3" s="4" t="s">
        <v>25</v>
      </c>
      <c r="E3" s="4" t="s">
        <v>20</v>
      </c>
      <c r="F3" s="4">
        <v>35</v>
      </c>
      <c r="G3" s="4">
        <v>1200</v>
      </c>
      <c r="H3" s="4">
        <v>10</v>
      </c>
      <c r="I3" s="4">
        <v>3.8</v>
      </c>
      <c r="J3" s="4">
        <v>5</v>
      </c>
      <c r="K3" s="46" t="s">
        <v>21</v>
      </c>
      <c r="L3" s="48">
        <f t="shared" ref="L3:L21" si="0">F3*G3</f>
        <v>42000</v>
      </c>
      <c r="M3" s="48">
        <f t="shared" ref="M3:M21" si="1">G3*H3/100</f>
        <v>120</v>
      </c>
      <c r="N3" s="48">
        <f t="shared" ref="N3:N21" si="2">L3-M3</f>
        <v>41880</v>
      </c>
      <c r="O3" s="48" t="str">
        <f t="shared" ref="O3:O21" si="3">IF(N3&gt;500000,"High",IF(N3&gt;200000,"Medium","Low"))</f>
        <v>Low</v>
      </c>
      <c r="P3" s="48" t="str">
        <f t="shared" ref="P3:P21" si="4">IF(I3&gt;4.5,"Excellent",IF(I3&gt;3.5,"Good","Poor"))</f>
        <v>Good</v>
      </c>
      <c r="Q3" s="48" t="str">
        <f t="shared" ref="Q3:Q21" si="5">IF(K3="Yes","Returned","Kept")</f>
        <v>Kept</v>
      </c>
    </row>
    <row r="4" spans="1:17" x14ac:dyDescent="0.3">
      <c r="A4" s="3" t="s">
        <v>26</v>
      </c>
      <c r="B4" s="3" t="s">
        <v>27</v>
      </c>
      <c r="C4" s="3" t="s">
        <v>18</v>
      </c>
      <c r="D4" s="3" t="s">
        <v>28</v>
      </c>
      <c r="E4" s="3" t="s">
        <v>20</v>
      </c>
      <c r="F4" s="3">
        <v>8</v>
      </c>
      <c r="G4" s="3">
        <v>62000</v>
      </c>
      <c r="H4" s="3">
        <v>0</v>
      </c>
      <c r="I4" s="3">
        <v>4.8</v>
      </c>
      <c r="J4" s="3">
        <v>2</v>
      </c>
      <c r="K4" s="45" t="s">
        <v>21</v>
      </c>
      <c r="L4" s="48">
        <f t="shared" si="0"/>
        <v>496000</v>
      </c>
      <c r="M4" s="48">
        <f t="shared" si="1"/>
        <v>0</v>
      </c>
      <c r="N4" s="48">
        <f t="shared" si="2"/>
        <v>496000</v>
      </c>
      <c r="O4" s="48" t="str">
        <f t="shared" si="3"/>
        <v>Medium</v>
      </c>
      <c r="P4" s="48" t="str">
        <f t="shared" si="4"/>
        <v>Excellent</v>
      </c>
      <c r="Q4" s="48" t="str">
        <f t="shared" si="5"/>
        <v>Kept</v>
      </c>
    </row>
    <row r="5" spans="1:17" x14ac:dyDescent="0.3">
      <c r="A5" s="58" t="s">
        <v>29</v>
      </c>
      <c r="B5" s="4" t="s">
        <v>30</v>
      </c>
      <c r="C5" s="4" t="s">
        <v>31</v>
      </c>
      <c r="D5" s="4" t="s">
        <v>32</v>
      </c>
      <c r="E5" s="4" t="s">
        <v>20</v>
      </c>
      <c r="F5" s="4">
        <v>5</v>
      </c>
      <c r="G5" s="4">
        <v>18000</v>
      </c>
      <c r="H5" s="4">
        <v>8</v>
      </c>
      <c r="I5" s="4">
        <v>4.0999999999999996</v>
      </c>
      <c r="J5" s="4">
        <v>7</v>
      </c>
      <c r="K5" s="46" t="s">
        <v>33</v>
      </c>
      <c r="L5" s="48">
        <f t="shared" si="0"/>
        <v>90000</v>
      </c>
      <c r="M5" s="48">
        <f t="shared" si="1"/>
        <v>1440</v>
      </c>
      <c r="N5" s="48">
        <f t="shared" si="2"/>
        <v>88560</v>
      </c>
      <c r="O5" s="48" t="str">
        <f t="shared" si="3"/>
        <v>Low</v>
      </c>
      <c r="P5" s="48" t="str">
        <f t="shared" si="4"/>
        <v>Good</v>
      </c>
      <c r="Q5" s="48" t="str">
        <f t="shared" si="5"/>
        <v>Returned</v>
      </c>
    </row>
    <row r="6" spans="1:17" x14ac:dyDescent="0.3">
      <c r="A6" s="3" t="s">
        <v>34</v>
      </c>
      <c r="B6" s="3" t="s">
        <v>35</v>
      </c>
      <c r="C6" s="3" t="s">
        <v>24</v>
      </c>
      <c r="D6" s="3" t="s">
        <v>19</v>
      </c>
      <c r="E6" s="3" t="s">
        <v>20</v>
      </c>
      <c r="F6" s="3">
        <v>50</v>
      </c>
      <c r="G6" s="3">
        <v>950</v>
      </c>
      <c r="H6" s="3">
        <v>15</v>
      </c>
      <c r="I6" s="3">
        <v>3.5</v>
      </c>
      <c r="J6" s="3">
        <v>4</v>
      </c>
      <c r="K6" s="45" t="s">
        <v>21</v>
      </c>
      <c r="L6" s="48">
        <f t="shared" si="0"/>
        <v>47500</v>
      </c>
      <c r="M6" s="48">
        <f t="shared" si="1"/>
        <v>142.5</v>
      </c>
      <c r="N6" s="48">
        <f t="shared" si="2"/>
        <v>47357.5</v>
      </c>
      <c r="O6" s="48" t="str">
        <f t="shared" si="3"/>
        <v>Low</v>
      </c>
      <c r="P6" s="48" t="str">
        <f t="shared" si="4"/>
        <v>Poor</v>
      </c>
      <c r="Q6" s="48" t="str">
        <f t="shared" si="5"/>
        <v>Kept</v>
      </c>
    </row>
    <row r="7" spans="1:17" x14ac:dyDescent="0.3">
      <c r="A7" s="4" t="s">
        <v>36</v>
      </c>
      <c r="B7" s="4" t="s">
        <v>23</v>
      </c>
      <c r="C7" s="4" t="s">
        <v>18</v>
      </c>
      <c r="D7" s="4" t="s">
        <v>25</v>
      </c>
      <c r="E7" s="4" t="s">
        <v>37</v>
      </c>
      <c r="F7" s="4">
        <v>15</v>
      </c>
      <c r="G7" s="4">
        <v>38000</v>
      </c>
      <c r="H7" s="4">
        <v>5</v>
      </c>
      <c r="I7" s="4">
        <v>4.5999999999999996</v>
      </c>
      <c r="J7" s="4">
        <v>3</v>
      </c>
      <c r="K7" s="46" t="s">
        <v>21</v>
      </c>
      <c r="L7" s="48">
        <f t="shared" si="0"/>
        <v>570000</v>
      </c>
      <c r="M7" s="48">
        <f t="shared" si="1"/>
        <v>1900</v>
      </c>
      <c r="N7" s="48">
        <f t="shared" si="2"/>
        <v>568100</v>
      </c>
      <c r="O7" s="48" t="str">
        <f t="shared" si="3"/>
        <v>High</v>
      </c>
      <c r="P7" s="48" t="str">
        <f t="shared" si="4"/>
        <v>Excellent</v>
      </c>
      <c r="Q7" s="48" t="str">
        <f t="shared" si="5"/>
        <v>Kept</v>
      </c>
    </row>
    <row r="8" spans="1:17" x14ac:dyDescent="0.3">
      <c r="A8" s="3" t="s">
        <v>38</v>
      </c>
      <c r="B8" s="3" t="s">
        <v>17</v>
      </c>
      <c r="C8" s="3" t="s">
        <v>31</v>
      </c>
      <c r="D8" s="3" t="s">
        <v>28</v>
      </c>
      <c r="E8" s="3" t="s">
        <v>37</v>
      </c>
      <c r="F8" s="3">
        <v>3</v>
      </c>
      <c r="G8" s="3">
        <v>25000</v>
      </c>
      <c r="H8" s="3">
        <v>10</v>
      </c>
      <c r="I8" s="3">
        <v>3.9</v>
      </c>
      <c r="J8" s="3">
        <v>8</v>
      </c>
      <c r="K8" s="45" t="s">
        <v>21</v>
      </c>
      <c r="L8" s="48">
        <f t="shared" si="0"/>
        <v>75000</v>
      </c>
      <c r="M8" s="48">
        <f t="shared" si="1"/>
        <v>2500</v>
      </c>
      <c r="N8" s="48">
        <f t="shared" si="2"/>
        <v>72500</v>
      </c>
      <c r="O8" s="48" t="str">
        <f t="shared" si="3"/>
        <v>Low</v>
      </c>
      <c r="P8" s="48" t="str">
        <f t="shared" si="4"/>
        <v>Good</v>
      </c>
      <c r="Q8" s="48" t="str">
        <f t="shared" si="5"/>
        <v>Kept</v>
      </c>
    </row>
    <row r="9" spans="1:17" x14ac:dyDescent="0.3">
      <c r="A9" s="4" t="s">
        <v>39</v>
      </c>
      <c r="B9" s="4" t="s">
        <v>27</v>
      </c>
      <c r="C9" s="4" t="s">
        <v>24</v>
      </c>
      <c r="D9" s="4" t="s">
        <v>32</v>
      </c>
      <c r="E9" s="4" t="s">
        <v>37</v>
      </c>
      <c r="F9" s="4">
        <v>42</v>
      </c>
      <c r="G9" s="4">
        <v>1500</v>
      </c>
      <c r="H9" s="4">
        <v>0</v>
      </c>
      <c r="I9" s="4">
        <v>4.2</v>
      </c>
      <c r="J9" s="4">
        <v>4</v>
      </c>
      <c r="K9" s="46" t="s">
        <v>33</v>
      </c>
      <c r="L9" s="48">
        <f t="shared" si="0"/>
        <v>63000</v>
      </c>
      <c r="M9" s="48">
        <f t="shared" si="1"/>
        <v>0</v>
      </c>
      <c r="N9" s="48">
        <f t="shared" si="2"/>
        <v>63000</v>
      </c>
      <c r="O9" s="48" t="str">
        <f t="shared" si="3"/>
        <v>Low</v>
      </c>
      <c r="P9" s="48" t="str">
        <f t="shared" si="4"/>
        <v>Good</v>
      </c>
      <c r="Q9" s="48" t="str">
        <f t="shared" si="5"/>
        <v>Returned</v>
      </c>
    </row>
    <row r="10" spans="1:17" x14ac:dyDescent="0.3">
      <c r="A10" s="3" t="s">
        <v>40</v>
      </c>
      <c r="B10" s="3" t="s">
        <v>30</v>
      </c>
      <c r="C10" s="3" t="s">
        <v>18</v>
      </c>
      <c r="D10" s="3" t="s">
        <v>19</v>
      </c>
      <c r="E10" s="3" t="s">
        <v>37</v>
      </c>
      <c r="F10" s="3">
        <v>20</v>
      </c>
      <c r="G10" s="3">
        <v>52000</v>
      </c>
      <c r="H10" s="3">
        <v>5</v>
      </c>
      <c r="I10" s="3">
        <v>4.7</v>
      </c>
      <c r="J10" s="3">
        <v>2</v>
      </c>
      <c r="K10" s="45" t="s">
        <v>21</v>
      </c>
      <c r="L10" s="48">
        <f t="shared" si="0"/>
        <v>1040000</v>
      </c>
      <c r="M10" s="48">
        <f t="shared" si="1"/>
        <v>2600</v>
      </c>
      <c r="N10" s="48">
        <f t="shared" si="2"/>
        <v>1037400</v>
      </c>
      <c r="O10" s="48" t="str">
        <f t="shared" si="3"/>
        <v>High</v>
      </c>
      <c r="P10" s="48" t="str">
        <f t="shared" si="4"/>
        <v>Excellent</v>
      </c>
      <c r="Q10" s="48" t="str">
        <f t="shared" si="5"/>
        <v>Kept</v>
      </c>
    </row>
    <row r="11" spans="1:17" x14ac:dyDescent="0.3">
      <c r="A11" s="4" t="s">
        <v>41</v>
      </c>
      <c r="B11" s="4" t="s">
        <v>35</v>
      </c>
      <c r="C11" s="4" t="s">
        <v>31</v>
      </c>
      <c r="D11" s="4" t="s">
        <v>25</v>
      </c>
      <c r="E11" s="4" t="s">
        <v>37</v>
      </c>
      <c r="F11" s="4">
        <v>7</v>
      </c>
      <c r="G11" s="4">
        <v>22000</v>
      </c>
      <c r="H11" s="4">
        <v>12</v>
      </c>
      <c r="I11" s="4">
        <v>3.6</v>
      </c>
      <c r="J11" s="4">
        <v>6</v>
      </c>
      <c r="K11" s="46" t="s">
        <v>21</v>
      </c>
      <c r="L11" s="48">
        <f t="shared" si="0"/>
        <v>154000</v>
      </c>
      <c r="M11" s="48">
        <f t="shared" si="1"/>
        <v>2640</v>
      </c>
      <c r="N11" s="48">
        <f t="shared" si="2"/>
        <v>151360</v>
      </c>
      <c r="O11" s="48" t="str">
        <f t="shared" si="3"/>
        <v>Low</v>
      </c>
      <c r="P11" s="48" t="str">
        <f t="shared" si="4"/>
        <v>Good</v>
      </c>
      <c r="Q11" s="48" t="str">
        <f t="shared" si="5"/>
        <v>Kept</v>
      </c>
    </row>
    <row r="12" spans="1:17" x14ac:dyDescent="0.3">
      <c r="A12" s="3" t="s">
        <v>42</v>
      </c>
      <c r="B12" s="3" t="s">
        <v>17</v>
      </c>
      <c r="C12" s="3" t="s">
        <v>24</v>
      </c>
      <c r="D12" s="3" t="s">
        <v>28</v>
      </c>
      <c r="E12" s="3" t="s">
        <v>43</v>
      </c>
      <c r="F12" s="3">
        <v>28</v>
      </c>
      <c r="G12" s="3">
        <v>1100</v>
      </c>
      <c r="H12" s="3">
        <v>8</v>
      </c>
      <c r="I12" s="3">
        <v>4</v>
      </c>
      <c r="J12" s="3">
        <v>5</v>
      </c>
      <c r="K12" s="45" t="s">
        <v>21</v>
      </c>
      <c r="L12" s="48">
        <f t="shared" si="0"/>
        <v>30800</v>
      </c>
      <c r="M12" s="48">
        <f t="shared" si="1"/>
        <v>88</v>
      </c>
      <c r="N12" s="48">
        <f t="shared" si="2"/>
        <v>30712</v>
      </c>
      <c r="O12" s="48" t="str">
        <f t="shared" si="3"/>
        <v>Low</v>
      </c>
      <c r="P12" s="48" t="str">
        <f t="shared" si="4"/>
        <v>Good</v>
      </c>
      <c r="Q12" s="48" t="str">
        <f t="shared" si="5"/>
        <v>Kept</v>
      </c>
    </row>
    <row r="13" spans="1:17" x14ac:dyDescent="0.3">
      <c r="A13" s="4" t="s">
        <v>44</v>
      </c>
      <c r="B13" s="4" t="s">
        <v>23</v>
      </c>
      <c r="C13" s="4" t="s">
        <v>31</v>
      </c>
      <c r="D13" s="4" t="s">
        <v>32</v>
      </c>
      <c r="E13" s="4" t="s">
        <v>43</v>
      </c>
      <c r="F13" s="4">
        <v>4</v>
      </c>
      <c r="G13" s="4">
        <v>30000</v>
      </c>
      <c r="H13" s="4">
        <v>0</v>
      </c>
      <c r="I13" s="4">
        <v>4.4000000000000004</v>
      </c>
      <c r="J13" s="4">
        <v>9</v>
      </c>
      <c r="K13" s="46" t="s">
        <v>33</v>
      </c>
      <c r="L13" s="48">
        <f t="shared" si="0"/>
        <v>120000</v>
      </c>
      <c r="M13" s="48">
        <f t="shared" si="1"/>
        <v>0</v>
      </c>
      <c r="N13" s="48">
        <f t="shared" si="2"/>
        <v>120000</v>
      </c>
      <c r="O13" s="48" t="str">
        <f t="shared" si="3"/>
        <v>Low</v>
      </c>
      <c r="P13" s="48" t="str">
        <f t="shared" si="4"/>
        <v>Good</v>
      </c>
      <c r="Q13" s="48" t="str">
        <f t="shared" si="5"/>
        <v>Returned</v>
      </c>
    </row>
    <row r="14" spans="1:17" x14ac:dyDescent="0.3">
      <c r="A14" s="3" t="s">
        <v>45</v>
      </c>
      <c r="B14" s="3" t="s">
        <v>27</v>
      </c>
      <c r="C14" s="3" t="s">
        <v>18</v>
      </c>
      <c r="D14" s="3" t="s">
        <v>19</v>
      </c>
      <c r="E14" s="3" t="s">
        <v>43</v>
      </c>
      <c r="F14" s="3">
        <v>18</v>
      </c>
      <c r="G14" s="3">
        <v>48000</v>
      </c>
      <c r="H14" s="3">
        <v>5</v>
      </c>
      <c r="I14" s="3">
        <v>4.9000000000000004</v>
      </c>
      <c r="J14" s="3">
        <v>2</v>
      </c>
      <c r="K14" s="45" t="s">
        <v>21</v>
      </c>
      <c r="L14" s="48">
        <f t="shared" si="0"/>
        <v>864000</v>
      </c>
      <c r="M14" s="48">
        <f t="shared" si="1"/>
        <v>2400</v>
      </c>
      <c r="N14" s="48">
        <f t="shared" si="2"/>
        <v>861600</v>
      </c>
      <c r="O14" s="48" t="str">
        <f t="shared" si="3"/>
        <v>High</v>
      </c>
      <c r="P14" s="48" t="str">
        <f t="shared" si="4"/>
        <v>Excellent</v>
      </c>
      <c r="Q14" s="48" t="str">
        <f t="shared" si="5"/>
        <v>Kept</v>
      </c>
    </row>
    <row r="15" spans="1:17" x14ac:dyDescent="0.3">
      <c r="A15" s="4" t="s">
        <v>46</v>
      </c>
      <c r="B15" s="4" t="s">
        <v>30</v>
      </c>
      <c r="C15" s="4" t="s">
        <v>24</v>
      </c>
      <c r="D15" s="4" t="s">
        <v>25</v>
      </c>
      <c r="E15" s="4" t="s">
        <v>43</v>
      </c>
      <c r="F15" s="4">
        <v>60</v>
      </c>
      <c r="G15" s="4">
        <v>800</v>
      </c>
      <c r="H15" s="4">
        <v>20</v>
      </c>
      <c r="I15" s="4">
        <v>3.2</v>
      </c>
      <c r="J15" s="4">
        <v>6</v>
      </c>
      <c r="K15" s="46" t="s">
        <v>21</v>
      </c>
      <c r="L15" s="48">
        <f t="shared" si="0"/>
        <v>48000</v>
      </c>
      <c r="M15" s="48">
        <f t="shared" si="1"/>
        <v>160</v>
      </c>
      <c r="N15" s="48">
        <f t="shared" si="2"/>
        <v>47840</v>
      </c>
      <c r="O15" s="48" t="str">
        <f t="shared" si="3"/>
        <v>Low</v>
      </c>
      <c r="P15" s="48" t="str">
        <f t="shared" si="4"/>
        <v>Poor</v>
      </c>
      <c r="Q15" s="48" t="str">
        <f t="shared" si="5"/>
        <v>Kept</v>
      </c>
    </row>
    <row r="16" spans="1:17" x14ac:dyDescent="0.3">
      <c r="A16" s="3" t="s">
        <v>47</v>
      </c>
      <c r="B16" s="3" t="s">
        <v>35</v>
      </c>
      <c r="C16" s="3" t="s">
        <v>18</v>
      </c>
      <c r="D16" s="3" t="s">
        <v>28</v>
      </c>
      <c r="E16" s="3" t="s">
        <v>43</v>
      </c>
      <c r="F16" s="3">
        <v>10</v>
      </c>
      <c r="G16" s="3">
        <v>71000</v>
      </c>
      <c r="H16" s="3">
        <v>0</v>
      </c>
      <c r="I16" s="3">
        <v>4.8</v>
      </c>
      <c r="J16" s="3">
        <v>1</v>
      </c>
      <c r="K16" s="45" t="s">
        <v>21</v>
      </c>
      <c r="L16" s="48">
        <f t="shared" si="0"/>
        <v>710000</v>
      </c>
      <c r="M16" s="48">
        <f t="shared" si="1"/>
        <v>0</v>
      </c>
      <c r="N16" s="48">
        <f t="shared" si="2"/>
        <v>710000</v>
      </c>
      <c r="O16" s="48" t="str">
        <f t="shared" si="3"/>
        <v>High</v>
      </c>
      <c r="P16" s="48" t="str">
        <f t="shared" si="4"/>
        <v>Excellent</v>
      </c>
      <c r="Q16" s="48" t="str">
        <f t="shared" si="5"/>
        <v>Kept</v>
      </c>
    </row>
    <row r="17" spans="1:17" x14ac:dyDescent="0.3">
      <c r="A17" s="4" t="s">
        <v>48</v>
      </c>
      <c r="B17" s="4" t="s">
        <v>17</v>
      </c>
      <c r="C17" s="4" t="s">
        <v>31</v>
      </c>
      <c r="D17" s="4" t="s">
        <v>32</v>
      </c>
      <c r="E17" s="4" t="s">
        <v>49</v>
      </c>
      <c r="F17" s="4">
        <v>6</v>
      </c>
      <c r="G17" s="4">
        <v>19000</v>
      </c>
      <c r="H17" s="4">
        <v>10</v>
      </c>
      <c r="I17" s="4">
        <v>4.0999999999999996</v>
      </c>
      <c r="J17" s="4">
        <v>7</v>
      </c>
      <c r="K17" s="46" t="s">
        <v>21</v>
      </c>
      <c r="L17" s="48">
        <f>F17*G17</f>
        <v>114000</v>
      </c>
      <c r="M17" s="48">
        <f t="shared" si="1"/>
        <v>1900</v>
      </c>
      <c r="N17" s="48">
        <f t="shared" si="2"/>
        <v>112100</v>
      </c>
      <c r="O17" s="48" t="str">
        <f t="shared" si="3"/>
        <v>Low</v>
      </c>
      <c r="P17" s="48" t="str">
        <f t="shared" si="4"/>
        <v>Good</v>
      </c>
      <c r="Q17" s="48" t="str">
        <f t="shared" si="5"/>
        <v>Kept</v>
      </c>
    </row>
    <row r="18" spans="1:17" x14ac:dyDescent="0.3">
      <c r="A18" s="3" t="s">
        <v>50</v>
      </c>
      <c r="B18" s="3" t="s">
        <v>23</v>
      </c>
      <c r="C18" s="3" t="s">
        <v>24</v>
      </c>
      <c r="D18" s="3" t="s">
        <v>19</v>
      </c>
      <c r="E18" s="3" t="s">
        <v>49</v>
      </c>
      <c r="F18" s="3">
        <v>45</v>
      </c>
      <c r="G18" s="3">
        <v>1300</v>
      </c>
      <c r="H18" s="3">
        <v>8</v>
      </c>
      <c r="I18" s="3">
        <v>3.7</v>
      </c>
      <c r="J18" s="3">
        <v>4</v>
      </c>
      <c r="K18" s="45" t="s">
        <v>33</v>
      </c>
      <c r="L18" s="48">
        <f t="shared" si="0"/>
        <v>58500</v>
      </c>
      <c r="M18" s="48">
        <f t="shared" si="1"/>
        <v>104</v>
      </c>
      <c r="N18" s="48">
        <f t="shared" si="2"/>
        <v>58396</v>
      </c>
      <c r="O18" s="48" t="str">
        <f t="shared" si="3"/>
        <v>Low</v>
      </c>
      <c r="P18" s="48" t="str">
        <f t="shared" si="4"/>
        <v>Good</v>
      </c>
      <c r="Q18" s="48" t="str">
        <f t="shared" si="5"/>
        <v>Returned</v>
      </c>
    </row>
    <row r="19" spans="1:17" x14ac:dyDescent="0.3">
      <c r="A19" s="4" t="s">
        <v>51</v>
      </c>
      <c r="B19" s="4" t="s">
        <v>27</v>
      </c>
      <c r="C19" s="4" t="s">
        <v>31</v>
      </c>
      <c r="D19" s="4" t="s">
        <v>25</v>
      </c>
      <c r="E19" s="4" t="s">
        <v>49</v>
      </c>
      <c r="F19" s="4">
        <v>2</v>
      </c>
      <c r="G19" s="4">
        <v>35000</v>
      </c>
      <c r="H19" s="4">
        <v>5</v>
      </c>
      <c r="I19" s="4">
        <v>4.5</v>
      </c>
      <c r="J19" s="4">
        <v>8</v>
      </c>
      <c r="K19" s="46" t="s">
        <v>21</v>
      </c>
      <c r="L19" s="48">
        <f t="shared" si="0"/>
        <v>70000</v>
      </c>
      <c r="M19" s="48">
        <f t="shared" si="1"/>
        <v>1750</v>
      </c>
      <c r="N19" s="48">
        <f t="shared" si="2"/>
        <v>68250</v>
      </c>
      <c r="O19" s="48" t="str">
        <f t="shared" si="3"/>
        <v>Low</v>
      </c>
      <c r="P19" s="48" t="str">
        <f t="shared" si="4"/>
        <v>Good</v>
      </c>
      <c r="Q19" s="48" t="str">
        <f t="shared" si="5"/>
        <v>Kept</v>
      </c>
    </row>
    <row r="20" spans="1:17" x14ac:dyDescent="0.3">
      <c r="A20" s="3" t="s">
        <v>52</v>
      </c>
      <c r="B20" s="3" t="s">
        <v>30</v>
      </c>
      <c r="C20" s="3" t="s">
        <v>24</v>
      </c>
      <c r="D20" s="3" t="s">
        <v>28</v>
      </c>
      <c r="E20" s="3" t="s">
        <v>49</v>
      </c>
      <c r="F20" s="3">
        <v>38</v>
      </c>
      <c r="G20" s="3">
        <v>950</v>
      </c>
      <c r="H20" s="3">
        <v>12</v>
      </c>
      <c r="I20" s="3">
        <v>3.4</v>
      </c>
      <c r="J20" s="3">
        <v>5</v>
      </c>
      <c r="K20" s="45" t="s">
        <v>21</v>
      </c>
      <c r="L20" s="48">
        <f t="shared" si="0"/>
        <v>36100</v>
      </c>
      <c r="M20" s="48">
        <f t="shared" si="1"/>
        <v>114</v>
      </c>
      <c r="N20" s="48">
        <f t="shared" si="2"/>
        <v>35986</v>
      </c>
      <c r="O20" s="48" t="str">
        <f t="shared" si="3"/>
        <v>Low</v>
      </c>
      <c r="P20" s="48" t="str">
        <f t="shared" si="4"/>
        <v>Poor</v>
      </c>
      <c r="Q20" s="48" t="str">
        <f t="shared" si="5"/>
        <v>Kept</v>
      </c>
    </row>
    <row r="21" spans="1:17" x14ac:dyDescent="0.3">
      <c r="A21" s="4" t="s">
        <v>53</v>
      </c>
      <c r="B21" s="4" t="s">
        <v>35</v>
      </c>
      <c r="C21" s="4" t="s">
        <v>18</v>
      </c>
      <c r="D21" s="4" t="s">
        <v>32</v>
      </c>
      <c r="E21" s="4" t="s">
        <v>49</v>
      </c>
      <c r="F21" s="4">
        <v>14</v>
      </c>
      <c r="G21" s="4">
        <v>55000</v>
      </c>
      <c r="H21" s="4">
        <v>0</v>
      </c>
      <c r="I21" s="4">
        <v>4.7</v>
      </c>
      <c r="J21" s="4">
        <v>2</v>
      </c>
      <c r="K21" s="46" t="s">
        <v>21</v>
      </c>
      <c r="L21" s="48">
        <f t="shared" si="0"/>
        <v>770000</v>
      </c>
      <c r="M21" s="48">
        <f t="shared" si="1"/>
        <v>0</v>
      </c>
      <c r="N21" s="48">
        <f t="shared" si="2"/>
        <v>770000</v>
      </c>
      <c r="O21" s="48" t="str">
        <f t="shared" si="3"/>
        <v>High</v>
      </c>
      <c r="P21" s="48" t="str">
        <f t="shared" si="4"/>
        <v>Excellent</v>
      </c>
      <c r="Q21" s="48" t="str">
        <f t="shared" si="5"/>
        <v>Kept</v>
      </c>
    </row>
    <row r="32" spans="1:17" x14ac:dyDescent="0.3">
      <c r="I32" s="54" t="s">
        <v>80</v>
      </c>
      <c r="J32" s="54">
        <f>_xlfn.AGGREGATE(9,0,L2:L21)</f>
        <v>5938900</v>
      </c>
    </row>
    <row r="33" spans="4:10" x14ac:dyDescent="0.3">
      <c r="D33" s="49" t="s">
        <v>80</v>
      </c>
      <c r="E33" s="49">
        <f>SUBTOTAL(9,N2:N21)</f>
        <v>5918791.5</v>
      </c>
    </row>
    <row r="35" spans="4:10" x14ac:dyDescent="0.3">
      <c r="I35" s="55" t="s">
        <v>256</v>
      </c>
      <c r="J35" s="55">
        <f>_xlfn.AGGREGATE(1,5,L2:L21)</f>
        <v>296945</v>
      </c>
    </row>
    <row r="36" spans="4:10" x14ac:dyDescent="0.3">
      <c r="D36" s="50" t="s">
        <v>256</v>
      </c>
      <c r="E36" s="50">
        <f>SUBTOTAL(1,N2:N21)</f>
        <v>295939.57500000001</v>
      </c>
    </row>
    <row r="38" spans="4:10" x14ac:dyDescent="0.3">
      <c r="I38" s="56" t="s">
        <v>74</v>
      </c>
      <c r="J38" s="56">
        <f>_xlfn.AGGREGATE(4,5,L2:L21)</f>
        <v>1040000</v>
      </c>
    </row>
    <row r="39" spans="4:10" x14ac:dyDescent="0.3">
      <c r="D39" s="51" t="s">
        <v>74</v>
      </c>
      <c r="E39" s="51">
        <f>SUBTOTAL(4,N2:N21)</f>
        <v>1037400</v>
      </c>
    </row>
    <row r="41" spans="4:10" x14ac:dyDescent="0.3">
      <c r="I41" s="57" t="s">
        <v>71</v>
      </c>
      <c r="J41" s="57">
        <f>_xlfn.AGGREGATE(5,5,L2:L21)</f>
        <v>30800</v>
      </c>
    </row>
    <row r="42" spans="4:10" x14ac:dyDescent="0.3">
      <c r="D42" s="53" t="s">
        <v>71</v>
      </c>
      <c r="E42" s="53">
        <f>SUBTOTAL(5,N2:N21)</f>
        <v>30712</v>
      </c>
    </row>
    <row r="45" spans="4:10" x14ac:dyDescent="0.3">
      <c r="D45" s="52" t="s">
        <v>65</v>
      </c>
      <c r="E45" s="52">
        <f>SUBTOTAL(2,J2:J21)</f>
        <v>20</v>
      </c>
    </row>
  </sheetData>
  <autoFilter ref="A1:R32" xr:uid="{00000000-0001-0000-0000-000000000000}"/>
  <conditionalFormatting sqref="E1:E1048576">
    <cfRule type="colorScale" priority="13">
      <colorScale>
        <cfvo type="min"/>
        <cfvo type="percentile" val="50"/>
        <cfvo type="max"/>
        <color rgb="FFF8696B"/>
        <color rgb="FFFFEB84"/>
        <color rgb="FF63BE7B"/>
      </colorScale>
    </cfRule>
  </conditionalFormatting>
  <conditionalFormatting sqref="E2:E21">
    <cfRule type="colorScale" priority="12">
      <colorScale>
        <cfvo type="min"/>
        <cfvo type="percentile" val="50"/>
        <cfvo type="max"/>
        <color rgb="FFF8696B"/>
        <color rgb="FFFFEB84"/>
        <color rgb="FF63BE7B"/>
      </colorScale>
    </cfRule>
    <cfRule type="colorScale" priority="11">
      <colorScale>
        <cfvo type="min"/>
        <cfvo type="max"/>
        <color rgb="FFFCFCFF"/>
        <color rgb="FF63BE7B"/>
      </colorScale>
    </cfRule>
    <cfRule type="colorScale" priority="10">
      <colorScale>
        <cfvo type="min"/>
        <cfvo type="max"/>
        <color rgb="FFFF7128"/>
        <color rgb="FFFFEF9C"/>
      </colorScale>
    </cfRule>
  </conditionalFormatting>
  <conditionalFormatting sqref="B2:D10">
    <cfRule type="colorScale" priority="9">
      <colorScale>
        <cfvo type="min"/>
        <cfvo type="max"/>
        <color rgb="FF63BE7B"/>
        <color rgb="FFFCFCFF"/>
      </colorScale>
    </cfRule>
    <cfRule type="colorScale" priority="8">
      <colorScale>
        <cfvo type="min"/>
        <cfvo type="percentile" val="50"/>
        <cfvo type="max"/>
        <color rgb="FF63BE7B"/>
        <color rgb="FFFFEB84"/>
        <color rgb="FFF8696B"/>
      </colorScale>
    </cfRule>
  </conditionalFormatting>
  <conditionalFormatting sqref="A2:A21">
    <cfRule type="colorScale" priority="7">
      <colorScale>
        <cfvo type="min"/>
        <cfvo type="percentile" val="50"/>
        <cfvo type="max"/>
        <color rgb="FFF8696B"/>
        <color rgb="FFFFEB84"/>
        <color rgb="FF63BE7B"/>
      </colorScale>
    </cfRule>
  </conditionalFormatting>
  <conditionalFormatting sqref="I2:I21">
    <cfRule type="colorScale" priority="6">
      <colorScale>
        <cfvo type="min"/>
        <cfvo type="percentile" val="50"/>
        <cfvo type="max"/>
        <color rgb="FFF8696B"/>
        <color rgb="FFFFEB84"/>
        <color rgb="FF63BE7B"/>
      </colorScale>
    </cfRule>
    <cfRule type="iconSet" priority="4">
      <iconSet>
        <cfvo type="percent" val="0"/>
        <cfvo type="percent" val="33"/>
        <cfvo type="percent" val="67"/>
      </iconSet>
    </cfRule>
  </conditionalFormatting>
  <conditionalFormatting sqref="N2:N21">
    <cfRule type="colorScale" priority="5">
      <colorScale>
        <cfvo type="min"/>
        <cfvo type="percentile" val="50"/>
        <cfvo type="max"/>
        <color rgb="FF63BE7B"/>
        <color rgb="FFFFEB84"/>
        <color rgb="FFF8696B"/>
      </colorScale>
    </cfRule>
    <cfRule type="top10" dxfId="1" priority="3" rank="10"/>
    <cfRule type="top10" dxfId="2" priority="2" rank="10"/>
  </conditionalFormatting>
  <conditionalFormatting sqref="A2:Q21">
    <cfRule type="expression" dxfId="0" priority="1">
      <formula>$K2="Yes"</formula>
    </cfRule>
  </conditionalFormatting>
  <pageMargins left="0.75" right="0.75" top="1" bottom="1" header="0.5" footer="0.5"/>
  <ignoredErrors>
    <ignoredError sqref="Q2:Q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topLeftCell="A14" workbookViewId="0">
      <selection sqref="A1:F1"/>
    </sheetView>
  </sheetViews>
  <sheetFormatPr defaultRowHeight="14.4" x14ac:dyDescent="0.3"/>
  <cols>
    <col min="1" max="1" width="40" customWidth="1"/>
    <col min="2" max="2" width="45" customWidth="1"/>
    <col min="3" max="3" width="22" customWidth="1"/>
    <col min="4" max="4" width="18" customWidth="1"/>
  </cols>
  <sheetData>
    <row r="1" spans="1:6" ht="28.05" customHeight="1" x14ac:dyDescent="0.3">
      <c r="A1" s="32" t="s">
        <v>54</v>
      </c>
      <c r="B1" s="27"/>
      <c r="C1" s="27"/>
      <c r="D1" s="27"/>
      <c r="E1" s="27"/>
      <c r="F1" s="27"/>
    </row>
    <row r="3" spans="1:6" x14ac:dyDescent="0.3">
      <c r="A3" s="5" t="s">
        <v>55</v>
      </c>
    </row>
    <row r="4" spans="1:6" x14ac:dyDescent="0.3">
      <c r="A4" s="1" t="s">
        <v>56</v>
      </c>
      <c r="B4" s="1" t="s">
        <v>57</v>
      </c>
      <c r="C4" s="1" t="s">
        <v>58</v>
      </c>
      <c r="D4" s="1" t="s">
        <v>59</v>
      </c>
    </row>
    <row r="5" spans="1:6" x14ac:dyDescent="0.3">
      <c r="A5" s="6" t="s">
        <v>60</v>
      </c>
      <c r="B5" s="6" t="s">
        <v>61</v>
      </c>
      <c r="C5" s="7" t="s">
        <v>62</v>
      </c>
      <c r="D5" s="6" t="e">
        <f>SUBTOTAL(1, range)</f>
        <v>#NAME?</v>
      </c>
    </row>
    <row r="6" spans="1:6" x14ac:dyDescent="0.3">
      <c r="A6" s="8" t="s">
        <v>63</v>
      </c>
      <c r="B6" s="8" t="s">
        <v>64</v>
      </c>
      <c r="C6" s="9" t="s">
        <v>65</v>
      </c>
      <c r="D6" s="8" t="e">
        <f>SUBTOTAL(2, range)</f>
        <v>#NAME?</v>
      </c>
    </row>
    <row r="7" spans="1:6" x14ac:dyDescent="0.3">
      <c r="A7" s="6" t="s">
        <v>66</v>
      </c>
      <c r="B7" s="6" t="s">
        <v>67</v>
      </c>
      <c r="C7" s="7" t="s">
        <v>68</v>
      </c>
      <c r="D7" s="6" t="e">
        <f>SUBTOTAL(3, range)</f>
        <v>#NAME?</v>
      </c>
    </row>
    <row r="8" spans="1:6" x14ac:dyDescent="0.3">
      <c r="A8" s="8" t="s">
        <v>69</v>
      </c>
      <c r="B8" s="8" t="s">
        <v>70</v>
      </c>
      <c r="C8" s="9" t="s">
        <v>71</v>
      </c>
      <c r="D8" s="8" t="e">
        <f>SUBTOTAL(4, range)</f>
        <v>#NAME?</v>
      </c>
    </row>
    <row r="9" spans="1:6" x14ac:dyDescent="0.3">
      <c r="A9" s="6" t="s">
        <v>72</v>
      </c>
      <c r="B9" s="6" t="s">
        <v>73</v>
      </c>
      <c r="C9" s="7" t="s">
        <v>74</v>
      </c>
      <c r="D9" s="6" t="e">
        <f>SUBTOTAL(5, range)</f>
        <v>#NAME?</v>
      </c>
    </row>
    <row r="10" spans="1:6" x14ac:dyDescent="0.3">
      <c r="A10" s="8" t="s">
        <v>75</v>
      </c>
      <c r="B10" s="8" t="s">
        <v>76</v>
      </c>
      <c r="C10" s="9" t="s">
        <v>77</v>
      </c>
      <c r="D10" s="8" t="e">
        <f>SUBTOTAL(6, range)</f>
        <v>#NAME?</v>
      </c>
    </row>
    <row r="11" spans="1:6" x14ac:dyDescent="0.3">
      <c r="A11" s="6" t="s">
        <v>78</v>
      </c>
      <c r="B11" s="6" t="s">
        <v>79</v>
      </c>
      <c r="C11" s="7" t="s">
        <v>80</v>
      </c>
      <c r="D11" s="6" t="e">
        <f>SUBTOTAL(9, range)</f>
        <v>#NAME?</v>
      </c>
    </row>
    <row r="12" spans="1:6" x14ac:dyDescent="0.3">
      <c r="A12" s="8" t="s">
        <v>81</v>
      </c>
      <c r="B12" s="8" t="s">
        <v>82</v>
      </c>
      <c r="C12" s="9" t="s">
        <v>83</v>
      </c>
      <c r="D12" s="8" t="e">
        <f>SUBTOTAL(11, range)</f>
        <v>#NAME?</v>
      </c>
    </row>
    <row r="14" spans="1:6" ht="22.05" customHeight="1" x14ac:dyDescent="0.3">
      <c r="A14" s="31" t="s">
        <v>84</v>
      </c>
      <c r="B14" s="29"/>
      <c r="C14" s="29"/>
      <c r="D14" s="29"/>
      <c r="E14" s="29"/>
      <c r="F14" s="30"/>
    </row>
    <row r="15" spans="1:6" ht="27.6" x14ac:dyDescent="0.3">
      <c r="A15" s="2" t="s">
        <v>85</v>
      </c>
      <c r="B15" s="2" t="s">
        <v>86</v>
      </c>
      <c r="C15" s="2" t="s">
        <v>87</v>
      </c>
      <c r="D15" s="2" t="s">
        <v>88</v>
      </c>
    </row>
    <row r="16" spans="1:6" ht="26.4" x14ac:dyDescent="0.3">
      <c r="A16" s="10" t="s">
        <v>89</v>
      </c>
      <c r="B16" s="10">
        <f>SUBTOTAL(9,'Store Sales Data'!N2:N21)</f>
        <v>5918791.5</v>
      </c>
      <c r="C16" s="11"/>
      <c r="D16" s="12"/>
    </row>
    <row r="17" spans="1:4" ht="26.4" x14ac:dyDescent="0.3">
      <c r="A17" s="13" t="s">
        <v>90</v>
      </c>
      <c r="B17" s="13">
        <f>SUBTOTAL(103,'Store Sales Data'!A2:A21)</f>
        <v>20</v>
      </c>
      <c r="C17" s="11"/>
      <c r="D17" s="14"/>
    </row>
    <row r="18" spans="1:4" x14ac:dyDescent="0.3">
      <c r="A18" s="10" t="s">
        <v>91</v>
      </c>
      <c r="B18" s="10">
        <f>SUBTOTAL(1,'Store Sales Data'!I2:I21)</f>
        <v>4.1700000000000008</v>
      </c>
      <c r="C18" s="11"/>
      <c r="D18" s="12"/>
    </row>
    <row r="19" spans="1:4" x14ac:dyDescent="0.3">
      <c r="A19" s="13" t="s">
        <v>92</v>
      </c>
      <c r="B19" s="13">
        <f>SUBTOTAL(4,'Store Sales Data'!N2:N21)</f>
        <v>1037400</v>
      </c>
      <c r="C19" s="11"/>
      <c r="D19" s="14"/>
    </row>
    <row r="20" spans="1:4" x14ac:dyDescent="0.3">
      <c r="A20" s="10" t="s">
        <v>93</v>
      </c>
      <c r="B20" s="10">
        <f>SUBTOTAL(5,'Store Sales Data'!J2:J21)</f>
        <v>1</v>
      </c>
      <c r="C20" s="11"/>
      <c r="D20" s="12"/>
    </row>
    <row r="23" spans="1:4" x14ac:dyDescent="0.3">
      <c r="A23" s="28" t="s">
        <v>94</v>
      </c>
      <c r="B23" s="29"/>
      <c r="C23" s="29"/>
      <c r="D23" s="30"/>
    </row>
    <row r="24" spans="1:4" x14ac:dyDescent="0.3">
      <c r="A24" s="15" t="s">
        <v>95</v>
      </c>
      <c r="B24" s="26" t="e">
        <f ca="1">_xludf.AGGREGATE(function_num, options, array)</f>
        <v>#NAME?</v>
      </c>
      <c r="C24" s="27"/>
      <c r="D24" s="27"/>
    </row>
    <row r="25" spans="1:4" x14ac:dyDescent="0.3">
      <c r="A25" s="15" t="s">
        <v>96</v>
      </c>
      <c r="B25" s="33" t="s">
        <v>97</v>
      </c>
      <c r="C25" s="27"/>
      <c r="D25" s="27"/>
    </row>
    <row r="26" spans="1:4" x14ac:dyDescent="0.3">
      <c r="A26" s="15" t="s">
        <v>59</v>
      </c>
      <c r="B26" s="26" t="e">
        <f ca="1">_xludf.AGGREGATE(9,5,N2:N21)  → SUM ignoring errors</f>
        <v>#NAME?</v>
      </c>
      <c r="C26" s="27"/>
      <c r="D26" s="27"/>
    </row>
    <row r="27" spans="1:4" x14ac:dyDescent="0.3">
      <c r="A27" s="15" t="s">
        <v>59</v>
      </c>
      <c r="B27" s="33" t="e">
        <f ca="1">_xludf.AGGREGATE(1,7,I2:I21)  → AVERAGE ignoring hidden rows AND errors</f>
        <v>#NAME?</v>
      </c>
      <c r="C27" s="27"/>
      <c r="D27" s="27"/>
    </row>
    <row r="28" spans="1:4" x14ac:dyDescent="0.3">
      <c r="A28" s="15" t="s">
        <v>98</v>
      </c>
      <c r="B28" s="26" t="s">
        <v>99</v>
      </c>
      <c r="C28" s="27"/>
      <c r="D28" s="27"/>
    </row>
  </sheetData>
  <mergeCells count="8">
    <mergeCell ref="B28:D28"/>
    <mergeCell ref="A23:D23"/>
    <mergeCell ref="A14:F14"/>
    <mergeCell ref="A1:F1"/>
    <mergeCell ref="B26:D26"/>
    <mergeCell ref="B27:D27"/>
    <mergeCell ref="B25:D25"/>
    <mergeCell ref="B24:D2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A12" sqref="A12:G12"/>
    </sheetView>
  </sheetViews>
  <sheetFormatPr defaultRowHeight="14.4" x14ac:dyDescent="0.3"/>
  <cols>
    <col min="1" max="1" width="13.33203125" bestFit="1" customWidth="1"/>
    <col min="2" max="2" width="52" customWidth="1"/>
    <col min="3" max="3" width="48" customWidth="1"/>
    <col min="4" max="4" width="12" customWidth="1"/>
    <col min="5" max="5" width="14" customWidth="1"/>
    <col min="6" max="6" width="9" customWidth="1"/>
    <col min="7" max="7" width="10" customWidth="1"/>
  </cols>
  <sheetData>
    <row r="1" spans="1:7" ht="28.05" customHeight="1" x14ac:dyDescent="0.3">
      <c r="A1" s="34" t="s">
        <v>100</v>
      </c>
      <c r="B1" s="27"/>
      <c r="C1" s="27"/>
      <c r="D1" s="27"/>
      <c r="E1" s="27"/>
      <c r="F1" s="27"/>
      <c r="G1" s="27"/>
    </row>
    <row r="2" spans="1:7" ht="19.95" customHeight="1" x14ac:dyDescent="0.3">
      <c r="A2" s="1" t="s">
        <v>1</v>
      </c>
      <c r="B2" s="1" t="s">
        <v>101</v>
      </c>
      <c r="C2" s="1" t="s">
        <v>102</v>
      </c>
      <c r="D2" s="1" t="s">
        <v>103</v>
      </c>
      <c r="E2" s="1" t="s">
        <v>104</v>
      </c>
      <c r="F2" s="1" t="s">
        <v>105</v>
      </c>
      <c r="G2" s="1" t="s">
        <v>106</v>
      </c>
    </row>
    <row r="3" spans="1:7" x14ac:dyDescent="0.3">
      <c r="A3" s="4" t="s">
        <v>17</v>
      </c>
      <c r="B3" s="4">
        <v>540000</v>
      </c>
      <c r="C3" s="4">
        <v>480000</v>
      </c>
      <c r="D3" s="4">
        <v>610000</v>
      </c>
      <c r="E3" s="4">
        <f t="shared" ref="E3:E10" si="0">SUM(B3:D3)</f>
        <v>1630000</v>
      </c>
      <c r="F3" s="4">
        <v>4.5</v>
      </c>
      <c r="G3" s="4" t="s">
        <v>107</v>
      </c>
    </row>
    <row r="4" spans="1:7" x14ac:dyDescent="0.3">
      <c r="A4" s="16" t="s">
        <v>23</v>
      </c>
      <c r="B4" s="16">
        <v>420000</v>
      </c>
      <c r="C4" s="16">
        <v>390000</v>
      </c>
      <c r="D4" s="16">
        <v>280000</v>
      </c>
      <c r="E4" s="16">
        <f t="shared" si="0"/>
        <v>1090000</v>
      </c>
      <c r="F4" s="16">
        <v>3.8</v>
      </c>
      <c r="G4" s="16" t="s">
        <v>107</v>
      </c>
    </row>
    <row r="5" spans="1:7" x14ac:dyDescent="0.3">
      <c r="A5" s="4" t="s">
        <v>27</v>
      </c>
      <c r="B5" s="4">
        <v>850000</v>
      </c>
      <c r="C5" s="4">
        <v>910000</v>
      </c>
      <c r="D5" s="4">
        <v>780000</v>
      </c>
      <c r="E5" s="4">
        <f t="shared" si="0"/>
        <v>2540000</v>
      </c>
      <c r="F5" s="4">
        <v>4.8</v>
      </c>
      <c r="G5" s="4" t="s">
        <v>107</v>
      </c>
    </row>
    <row r="6" spans="1:7" x14ac:dyDescent="0.3">
      <c r="A6" s="16" t="s">
        <v>30</v>
      </c>
      <c r="B6" s="16">
        <v>440000</v>
      </c>
      <c r="C6" s="16">
        <v>470000</v>
      </c>
      <c r="D6" s="16">
        <v>510000</v>
      </c>
      <c r="E6" s="16">
        <f t="shared" si="0"/>
        <v>1420000</v>
      </c>
      <c r="F6" s="16">
        <v>4.0999999999999996</v>
      </c>
      <c r="G6" s="16" t="s">
        <v>107</v>
      </c>
    </row>
    <row r="7" spans="1:7" x14ac:dyDescent="0.3">
      <c r="A7" s="4" t="s">
        <v>35</v>
      </c>
      <c r="B7" s="4">
        <v>920000</v>
      </c>
      <c r="C7" s="4">
        <v>880000</v>
      </c>
      <c r="D7" s="4">
        <v>950000</v>
      </c>
      <c r="E7" s="4">
        <f t="shared" si="0"/>
        <v>2750000</v>
      </c>
      <c r="F7" s="4">
        <v>4.7</v>
      </c>
      <c r="G7" s="4" t="s">
        <v>107</v>
      </c>
    </row>
    <row r="8" spans="1:7" x14ac:dyDescent="0.3">
      <c r="A8" s="16" t="s">
        <v>108</v>
      </c>
      <c r="B8" s="16">
        <v>670000</v>
      </c>
      <c r="C8" s="16">
        <v>320000</v>
      </c>
      <c r="D8" s="16">
        <v>690000</v>
      </c>
      <c r="E8" s="16">
        <f t="shared" si="0"/>
        <v>1680000</v>
      </c>
      <c r="F8" s="16">
        <v>3.2</v>
      </c>
      <c r="G8" s="16" t="s">
        <v>109</v>
      </c>
    </row>
    <row r="9" spans="1:7" x14ac:dyDescent="0.3">
      <c r="A9" s="4" t="s">
        <v>110</v>
      </c>
      <c r="B9" s="4">
        <v>250000</v>
      </c>
      <c r="C9" s="4">
        <v>270000</v>
      </c>
      <c r="D9" s="4">
        <v>240000</v>
      </c>
      <c r="E9" s="4">
        <f t="shared" si="0"/>
        <v>760000</v>
      </c>
      <c r="F9" s="4">
        <v>2.9</v>
      </c>
      <c r="G9" s="4" t="s">
        <v>109</v>
      </c>
    </row>
    <row r="10" spans="1:7" x14ac:dyDescent="0.3">
      <c r="A10" s="16" t="s">
        <v>111</v>
      </c>
      <c r="B10" s="16">
        <v>110000</v>
      </c>
      <c r="C10" s="16">
        <v>105000</v>
      </c>
      <c r="D10" s="16">
        <v>980000</v>
      </c>
      <c r="E10" s="16">
        <f t="shared" si="0"/>
        <v>1195000</v>
      </c>
      <c r="F10" s="16">
        <v>4.9000000000000004</v>
      </c>
      <c r="G10" s="16" t="s">
        <v>107</v>
      </c>
    </row>
    <row r="12" spans="1:7" ht="22.05" customHeight="1" x14ac:dyDescent="0.3">
      <c r="A12" s="35" t="s">
        <v>112</v>
      </c>
      <c r="B12" s="29"/>
      <c r="C12" s="29"/>
      <c r="D12" s="29"/>
      <c r="E12" s="29"/>
      <c r="F12" s="29"/>
      <c r="G12" s="30"/>
    </row>
    <row r="13" spans="1:7" ht="19.95" customHeight="1" x14ac:dyDescent="0.3">
      <c r="A13" s="17" t="s">
        <v>113</v>
      </c>
      <c r="B13" s="17" t="s">
        <v>114</v>
      </c>
      <c r="C13" s="17" t="s">
        <v>115</v>
      </c>
    </row>
    <row r="14" spans="1:7" ht="40.049999999999997" customHeight="1" x14ac:dyDescent="0.3">
      <c r="A14" s="18" t="s">
        <v>116</v>
      </c>
      <c r="B14" s="19" t="s">
        <v>117</v>
      </c>
      <c r="C14" s="19" t="s">
        <v>118</v>
      </c>
    </row>
    <row r="15" spans="1:7" ht="40.049999999999997" customHeight="1" x14ac:dyDescent="0.3">
      <c r="A15" s="14" t="s">
        <v>119</v>
      </c>
      <c r="B15" s="13" t="s">
        <v>120</v>
      </c>
      <c r="C15" s="13" t="s">
        <v>121</v>
      </c>
    </row>
    <row r="16" spans="1:7" ht="40.049999999999997" customHeight="1" x14ac:dyDescent="0.3">
      <c r="A16" s="18" t="s">
        <v>122</v>
      </c>
      <c r="B16" s="19" t="s">
        <v>123</v>
      </c>
      <c r="C16" s="19" t="s">
        <v>124</v>
      </c>
    </row>
    <row r="17" spans="1:3" ht="40.049999999999997" customHeight="1" x14ac:dyDescent="0.3">
      <c r="A17" s="14" t="s">
        <v>125</v>
      </c>
      <c r="B17" s="13" t="s">
        <v>126</v>
      </c>
      <c r="C17" s="13" t="s">
        <v>127</v>
      </c>
    </row>
    <row r="18" spans="1:3" ht="40.049999999999997" customHeight="1" x14ac:dyDescent="0.3">
      <c r="A18" s="18" t="s">
        <v>128</v>
      </c>
      <c r="B18" s="19" t="s">
        <v>129</v>
      </c>
      <c r="C18" s="19" t="s">
        <v>130</v>
      </c>
    </row>
    <row r="19" spans="1:3" ht="40.049999999999997" customHeight="1" x14ac:dyDescent="0.3">
      <c r="A19" s="14" t="s">
        <v>131</v>
      </c>
      <c r="B19" s="13" t="s">
        <v>132</v>
      </c>
      <c r="C19" s="13" t="s">
        <v>133</v>
      </c>
    </row>
    <row r="20" spans="1:3" ht="40.049999999999997" customHeight="1" x14ac:dyDescent="0.3">
      <c r="A20" s="18" t="s">
        <v>134</v>
      </c>
      <c r="B20" s="19" t="s">
        <v>135</v>
      </c>
      <c r="C20" s="19" t="s">
        <v>136</v>
      </c>
    </row>
    <row r="21" spans="1:3" ht="40.049999999999997" customHeight="1" x14ac:dyDescent="0.3">
      <c r="A21" s="14" t="s">
        <v>137</v>
      </c>
      <c r="B21" s="13" t="s">
        <v>138</v>
      </c>
      <c r="C21" s="13" t="s">
        <v>139</v>
      </c>
    </row>
  </sheetData>
  <mergeCells count="2">
    <mergeCell ref="A1:G1"/>
    <mergeCell ref="A12:G12"/>
  </mergeCells>
  <conditionalFormatting sqref="A3:G10">
    <cfRule type="expression" dxfId="5" priority="4">
      <formula>$G3="Inactive"</formula>
    </cfRule>
  </conditionalFormatting>
  <conditionalFormatting sqref="B3:D10">
    <cfRule type="colorScale" priority="1">
      <colorScale>
        <cfvo type="min"/>
        <cfvo type="percentile" val="50"/>
        <cfvo type="max"/>
        <color rgb="FFFFCDD2"/>
        <color rgb="FFFFF9C4"/>
        <color rgb="FFC8E6C9"/>
      </colorScale>
    </cfRule>
  </conditionalFormatting>
  <conditionalFormatting sqref="E3:E10">
    <cfRule type="dataBar" priority="2">
      <dataBar>
        <cfvo type="min"/>
        <cfvo type="max"/>
        <color rgb="FF4472C4"/>
      </dataBar>
    </cfRule>
  </conditionalFormatting>
  <conditionalFormatting sqref="F3:F10">
    <cfRule type="cellIs" dxfId="4" priority="3" operator="lessThan">
      <formula>3.5</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election sqref="A1:E1"/>
    </sheetView>
  </sheetViews>
  <sheetFormatPr defaultRowHeight="14.4" x14ac:dyDescent="0.3"/>
  <cols>
    <col min="1" max="1" width="4" customWidth="1"/>
    <col min="2" max="2" width="38" customWidth="1"/>
    <col min="3" max="3" width="18" customWidth="1"/>
    <col min="4" max="4" width="28" customWidth="1"/>
    <col min="5" max="5" width="30" customWidth="1"/>
  </cols>
  <sheetData>
    <row r="1" spans="1:5" ht="28.05" customHeight="1" x14ac:dyDescent="0.3">
      <c r="A1" s="40" t="s">
        <v>140</v>
      </c>
      <c r="B1" s="27"/>
      <c r="C1" s="27"/>
      <c r="D1" s="27"/>
      <c r="E1" s="27"/>
    </row>
    <row r="3" spans="1:5" x14ac:dyDescent="0.3">
      <c r="A3" s="28" t="s">
        <v>141</v>
      </c>
      <c r="B3" s="27"/>
      <c r="C3" s="27"/>
      <c r="D3" s="27"/>
      <c r="E3" s="27"/>
    </row>
    <row r="4" spans="1:5" ht="30" customHeight="1" x14ac:dyDescent="0.3">
      <c r="A4" s="37" t="s">
        <v>142</v>
      </c>
      <c r="B4" s="27"/>
      <c r="C4" s="27"/>
      <c r="D4" s="27"/>
      <c r="E4" s="27"/>
    </row>
    <row r="6" spans="1:5" x14ac:dyDescent="0.3">
      <c r="A6" s="5" t="s">
        <v>143</v>
      </c>
    </row>
    <row r="7" spans="1:5" ht="18" customHeight="1" x14ac:dyDescent="0.3">
      <c r="A7" s="39" t="s">
        <v>144</v>
      </c>
      <c r="B7" s="27"/>
      <c r="C7" s="27"/>
      <c r="D7" s="27"/>
      <c r="E7" s="27"/>
    </row>
    <row r="8" spans="1:5" ht="18" customHeight="1" x14ac:dyDescent="0.3">
      <c r="A8" s="36" t="s">
        <v>145</v>
      </c>
      <c r="B8" s="27"/>
      <c r="C8" s="27"/>
      <c r="D8" s="27"/>
      <c r="E8" s="27"/>
    </row>
    <row r="9" spans="1:5" ht="18" customHeight="1" x14ac:dyDescent="0.3">
      <c r="A9" s="39" t="s">
        <v>146</v>
      </c>
      <c r="B9" s="27"/>
      <c r="C9" s="27"/>
      <c r="D9" s="27"/>
      <c r="E9" s="27"/>
    </row>
    <row r="10" spans="1:5" ht="18" customHeight="1" x14ac:dyDescent="0.3">
      <c r="A10" s="36" t="s">
        <v>147</v>
      </c>
      <c r="B10" s="27"/>
      <c r="C10" s="27"/>
      <c r="D10" s="27"/>
      <c r="E10" s="27"/>
    </row>
    <row r="11" spans="1:5" ht="18" customHeight="1" x14ac:dyDescent="0.3">
      <c r="A11" s="39" t="s">
        <v>148</v>
      </c>
      <c r="B11" s="27"/>
      <c r="C11" s="27"/>
      <c r="D11" s="27"/>
      <c r="E11" s="27"/>
    </row>
    <row r="12" spans="1:5" ht="18" customHeight="1" x14ac:dyDescent="0.3">
      <c r="A12" s="36" t="s">
        <v>149</v>
      </c>
      <c r="B12" s="27"/>
      <c r="C12" s="27"/>
      <c r="D12" s="27"/>
      <c r="E12" s="27"/>
    </row>
    <row r="14" spans="1:5" ht="22.05" customHeight="1" x14ac:dyDescent="0.3">
      <c r="A14" s="38" t="s">
        <v>150</v>
      </c>
      <c r="B14" s="29"/>
      <c r="C14" s="29"/>
      <c r="D14" s="29"/>
      <c r="E14" s="30"/>
    </row>
    <row r="15" spans="1:5" ht="19.95" customHeight="1" x14ac:dyDescent="0.3">
      <c r="A15" s="21" t="s">
        <v>113</v>
      </c>
      <c r="B15" s="21" t="s">
        <v>85</v>
      </c>
      <c r="C15" s="21" t="s">
        <v>151</v>
      </c>
      <c r="D15" s="21" t="s">
        <v>152</v>
      </c>
      <c r="E15" s="21" t="s">
        <v>153</v>
      </c>
    </row>
    <row r="16" spans="1:5" ht="40.049999999999997" customHeight="1" x14ac:dyDescent="0.3">
      <c r="A16" s="22" t="s">
        <v>116</v>
      </c>
      <c r="B16" s="20" t="s">
        <v>154</v>
      </c>
      <c r="C16" s="20" t="s">
        <v>1</v>
      </c>
      <c r="D16" s="20" t="s">
        <v>155</v>
      </c>
      <c r="E16" s="20" t="s">
        <v>156</v>
      </c>
    </row>
    <row r="17" spans="1:5" ht="40.049999999999997" customHeight="1" x14ac:dyDescent="0.3">
      <c r="A17" s="14" t="s">
        <v>119</v>
      </c>
      <c r="B17" s="13" t="s">
        <v>157</v>
      </c>
      <c r="C17" s="13" t="s">
        <v>2</v>
      </c>
      <c r="D17" s="13" t="s">
        <v>158</v>
      </c>
      <c r="E17" s="13" t="s">
        <v>159</v>
      </c>
    </row>
    <row r="18" spans="1:5" ht="40.049999999999997" customHeight="1" x14ac:dyDescent="0.3">
      <c r="A18" s="22" t="s">
        <v>122</v>
      </c>
      <c r="B18" s="20" t="s">
        <v>160</v>
      </c>
      <c r="C18" s="20" t="s">
        <v>3</v>
      </c>
      <c r="D18" s="20" t="s">
        <v>161</v>
      </c>
      <c r="E18" s="20" t="s">
        <v>162</v>
      </c>
    </row>
    <row r="19" spans="1:5" ht="40.049999999999997" customHeight="1" x14ac:dyDescent="0.3">
      <c r="A19" s="14" t="s">
        <v>125</v>
      </c>
      <c r="B19" s="13" t="s">
        <v>163</v>
      </c>
      <c r="C19" s="13" t="s">
        <v>4</v>
      </c>
      <c r="D19" s="13" t="s">
        <v>164</v>
      </c>
      <c r="E19" s="13" t="s">
        <v>165</v>
      </c>
    </row>
    <row r="20" spans="1:5" ht="40.049999999999997" customHeight="1" x14ac:dyDescent="0.3">
      <c r="A20" s="22" t="s">
        <v>128</v>
      </c>
      <c r="B20" s="20" t="s">
        <v>166</v>
      </c>
      <c r="C20" s="20" t="s">
        <v>2</v>
      </c>
      <c r="D20" s="20" t="s">
        <v>167</v>
      </c>
      <c r="E20" s="20" t="s">
        <v>168</v>
      </c>
    </row>
    <row r="21" spans="1:5" ht="40.049999999999997" customHeight="1" x14ac:dyDescent="0.3">
      <c r="A21" s="14" t="s">
        <v>131</v>
      </c>
      <c r="B21" s="13" t="s">
        <v>169</v>
      </c>
      <c r="C21" s="13" t="s">
        <v>1</v>
      </c>
      <c r="D21" s="13" t="s">
        <v>155</v>
      </c>
      <c r="E21" s="13" t="s">
        <v>170</v>
      </c>
    </row>
    <row r="22" spans="1:5" ht="40.049999999999997" customHeight="1" x14ac:dyDescent="0.3">
      <c r="A22" s="22" t="s">
        <v>134</v>
      </c>
      <c r="B22" s="20" t="s">
        <v>171</v>
      </c>
      <c r="C22" s="20" t="s">
        <v>172</v>
      </c>
      <c r="D22" s="20" t="s">
        <v>155</v>
      </c>
      <c r="E22" s="20" t="s">
        <v>173</v>
      </c>
    </row>
    <row r="23" spans="1:5" ht="40.049999999999997" customHeight="1" x14ac:dyDescent="0.3">
      <c r="A23" s="14" t="s">
        <v>137</v>
      </c>
      <c r="B23" s="13" t="s">
        <v>174</v>
      </c>
      <c r="C23" s="13" t="s">
        <v>1</v>
      </c>
      <c r="D23" s="13" t="s">
        <v>175</v>
      </c>
      <c r="E23" s="13" t="s">
        <v>176</v>
      </c>
    </row>
    <row r="24" spans="1:5" ht="40.049999999999997" customHeight="1" x14ac:dyDescent="0.3">
      <c r="A24" s="22" t="s">
        <v>177</v>
      </c>
      <c r="B24" s="20" t="s">
        <v>178</v>
      </c>
      <c r="C24" s="20" t="s">
        <v>179</v>
      </c>
      <c r="D24" s="20" t="s">
        <v>180</v>
      </c>
      <c r="E24" s="20" t="s">
        <v>181</v>
      </c>
    </row>
    <row r="25" spans="1:5" ht="40.049999999999997" customHeight="1" x14ac:dyDescent="0.3">
      <c r="A25" s="14" t="s">
        <v>182</v>
      </c>
      <c r="B25" s="13" t="s">
        <v>183</v>
      </c>
      <c r="C25" s="13" t="s">
        <v>179</v>
      </c>
      <c r="D25" s="13" t="s">
        <v>184</v>
      </c>
      <c r="E25" s="13" t="s">
        <v>185</v>
      </c>
    </row>
  </sheetData>
  <mergeCells count="10">
    <mergeCell ref="A1:E1"/>
    <mergeCell ref="A8:E8"/>
    <mergeCell ref="A9:E9"/>
    <mergeCell ref="A3:E3"/>
    <mergeCell ref="A12:E12"/>
    <mergeCell ref="A4:E4"/>
    <mergeCell ref="A14:E14"/>
    <mergeCell ref="A7:E7"/>
    <mergeCell ref="A10:E10"/>
    <mergeCell ref="A11:E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8"/>
  <sheetViews>
    <sheetView workbookViewId="0">
      <pane ySplit="2" topLeftCell="A3" activePane="bottomLeft" state="frozen"/>
      <selection pane="bottomLeft" activeCell="B11" sqref="B11"/>
    </sheetView>
  </sheetViews>
  <sheetFormatPr defaultRowHeight="14.4" x14ac:dyDescent="0.3"/>
  <cols>
    <col min="1" max="1" width="58" customWidth="1"/>
    <col min="2" max="2" width="42" customWidth="1"/>
    <col min="3" max="3" width="8" customWidth="1"/>
  </cols>
  <sheetData>
    <row r="1" spans="1:4" ht="30" customHeight="1" x14ac:dyDescent="0.3">
      <c r="A1" s="41" t="s">
        <v>186</v>
      </c>
      <c r="B1" s="27"/>
      <c r="C1" s="27"/>
      <c r="D1" s="27"/>
    </row>
    <row r="2" spans="1:4" ht="18" customHeight="1" x14ac:dyDescent="0.3">
      <c r="A2" s="43" t="s">
        <v>187</v>
      </c>
      <c r="B2" s="27"/>
      <c r="C2" s="27"/>
      <c r="D2" s="27"/>
    </row>
    <row r="3" spans="1:4" ht="22.05" customHeight="1" x14ac:dyDescent="0.3">
      <c r="A3" s="42" t="s">
        <v>188</v>
      </c>
      <c r="B3" s="27"/>
      <c r="C3" s="27"/>
      <c r="D3" s="27"/>
    </row>
    <row r="4" spans="1:4" ht="22.05" customHeight="1" x14ac:dyDescent="0.3">
      <c r="A4" s="23" t="s">
        <v>189</v>
      </c>
      <c r="B4" s="24" t="s">
        <v>190</v>
      </c>
      <c r="C4" s="25" t="s">
        <v>191</v>
      </c>
    </row>
    <row r="5" spans="1:4" ht="22.05" customHeight="1" x14ac:dyDescent="0.3">
      <c r="A5" s="23" t="s">
        <v>192</v>
      </c>
      <c r="B5" s="24" t="s">
        <v>193</v>
      </c>
      <c r="C5" s="25" t="s">
        <v>191</v>
      </c>
    </row>
    <row r="6" spans="1:4" ht="22.05" customHeight="1" x14ac:dyDescent="0.3">
      <c r="A6" s="23" t="s">
        <v>194</v>
      </c>
      <c r="B6" s="24" t="s">
        <v>195</v>
      </c>
      <c r="C6" s="25" t="s">
        <v>191</v>
      </c>
    </row>
    <row r="7" spans="1:4" ht="31.95" customHeight="1" x14ac:dyDescent="0.3">
      <c r="A7" s="23" t="s">
        <v>196</v>
      </c>
      <c r="B7" s="24" t="s">
        <v>197</v>
      </c>
      <c r="C7" s="25" t="s">
        <v>191</v>
      </c>
    </row>
    <row r="8" spans="1:4" ht="31.95" customHeight="1" x14ac:dyDescent="0.3">
      <c r="A8" s="23" t="s">
        <v>198</v>
      </c>
      <c r="B8" s="24" t="s">
        <v>199</v>
      </c>
      <c r="C8" s="25" t="s">
        <v>191</v>
      </c>
    </row>
    <row r="9" spans="1:4" ht="22.05" customHeight="1" x14ac:dyDescent="0.3">
      <c r="A9" s="23" t="s">
        <v>200</v>
      </c>
      <c r="B9" s="24" t="s">
        <v>201</v>
      </c>
      <c r="C9" s="25" t="s">
        <v>191</v>
      </c>
    </row>
    <row r="10" spans="1:4" ht="22.05" customHeight="1" x14ac:dyDescent="0.3">
      <c r="A10" s="42" t="s">
        <v>202</v>
      </c>
      <c r="B10" s="27"/>
      <c r="C10" s="27"/>
      <c r="D10" s="27"/>
    </row>
    <row r="11" spans="1:4" ht="22.05" customHeight="1" x14ac:dyDescent="0.3">
      <c r="A11" s="23" t="s">
        <v>203</v>
      </c>
      <c r="B11" s="24" t="s">
        <v>204</v>
      </c>
      <c r="C11" s="25" t="s">
        <v>191</v>
      </c>
    </row>
    <row r="12" spans="1:4" ht="22.05" customHeight="1" x14ac:dyDescent="0.3">
      <c r="A12" s="23" t="s">
        <v>205</v>
      </c>
      <c r="B12" s="24" t="s">
        <v>206</v>
      </c>
      <c r="C12" s="25" t="s">
        <v>191</v>
      </c>
    </row>
    <row r="13" spans="1:4" ht="22.05" customHeight="1" x14ac:dyDescent="0.3">
      <c r="A13" s="23" t="s">
        <v>207</v>
      </c>
      <c r="B13" s="24" t="s">
        <v>208</v>
      </c>
      <c r="C13" s="25" t="s">
        <v>191</v>
      </c>
    </row>
    <row r="14" spans="1:4" ht="22.05" customHeight="1" x14ac:dyDescent="0.3">
      <c r="A14" s="23" t="s">
        <v>209</v>
      </c>
      <c r="B14" s="24" t="s">
        <v>210</v>
      </c>
      <c r="C14" s="25" t="s">
        <v>191</v>
      </c>
    </row>
    <row r="15" spans="1:4" ht="31.95" customHeight="1" x14ac:dyDescent="0.3">
      <c r="A15" s="23" t="s">
        <v>211</v>
      </c>
      <c r="B15" s="24" t="s">
        <v>212</v>
      </c>
      <c r="C15" s="25" t="s">
        <v>191</v>
      </c>
    </row>
    <row r="16" spans="1:4" ht="22.05" customHeight="1" x14ac:dyDescent="0.3">
      <c r="A16" s="42" t="s">
        <v>213</v>
      </c>
      <c r="B16" s="27"/>
      <c r="C16" s="27"/>
      <c r="D16" s="27"/>
    </row>
    <row r="17" spans="1:4" ht="22.05" customHeight="1" x14ac:dyDescent="0.3">
      <c r="A17" s="23" t="s">
        <v>214</v>
      </c>
      <c r="B17" s="24" t="s">
        <v>215</v>
      </c>
      <c r="C17" s="25" t="s">
        <v>191</v>
      </c>
    </row>
    <row r="18" spans="1:4" ht="22.05" customHeight="1" x14ac:dyDescent="0.3">
      <c r="A18" s="23" t="s">
        <v>216</v>
      </c>
      <c r="B18" s="24" t="s">
        <v>217</v>
      </c>
      <c r="C18" s="25" t="s">
        <v>191</v>
      </c>
    </row>
    <row r="19" spans="1:4" ht="22.05" customHeight="1" x14ac:dyDescent="0.3">
      <c r="A19" s="23" t="s">
        <v>218</v>
      </c>
      <c r="B19" s="24" t="s">
        <v>219</v>
      </c>
      <c r="C19" s="25" t="s">
        <v>191</v>
      </c>
    </row>
    <row r="20" spans="1:4" ht="22.05" customHeight="1" x14ac:dyDescent="0.3">
      <c r="A20" s="42" t="s">
        <v>220</v>
      </c>
      <c r="B20" s="27"/>
      <c r="C20" s="27"/>
      <c r="D20" s="27"/>
    </row>
    <row r="21" spans="1:4" ht="22.05" customHeight="1" x14ac:dyDescent="0.3">
      <c r="A21" s="23" t="s">
        <v>221</v>
      </c>
      <c r="B21" s="24" t="s">
        <v>222</v>
      </c>
      <c r="C21" s="25" t="s">
        <v>191</v>
      </c>
    </row>
    <row r="22" spans="1:4" ht="22.05" customHeight="1" x14ac:dyDescent="0.3">
      <c r="A22" s="23" t="s">
        <v>223</v>
      </c>
      <c r="B22" s="24" t="s">
        <v>224</v>
      </c>
      <c r="C22" s="25" t="s">
        <v>191</v>
      </c>
    </row>
    <row r="23" spans="1:4" ht="22.05" customHeight="1" x14ac:dyDescent="0.3">
      <c r="A23" s="23" t="s">
        <v>225</v>
      </c>
      <c r="B23" s="24" t="s">
        <v>226</v>
      </c>
      <c r="C23" s="25" t="s">
        <v>191</v>
      </c>
    </row>
    <row r="24" spans="1:4" ht="22.05" customHeight="1" x14ac:dyDescent="0.3">
      <c r="A24" s="23" t="s">
        <v>227</v>
      </c>
      <c r="B24" s="24" t="s">
        <v>228</v>
      </c>
      <c r="C24" s="25" t="s">
        <v>191</v>
      </c>
    </row>
    <row r="25" spans="1:4" ht="22.05" customHeight="1" x14ac:dyDescent="0.3">
      <c r="A25" s="23" t="s">
        <v>229</v>
      </c>
      <c r="B25" s="24" t="s">
        <v>230</v>
      </c>
      <c r="C25" s="25" t="s">
        <v>191</v>
      </c>
    </row>
    <row r="26" spans="1:4" ht="31.95" customHeight="1" x14ac:dyDescent="0.3">
      <c r="A26" s="23" t="s">
        <v>231</v>
      </c>
      <c r="B26" s="24" t="s">
        <v>232</v>
      </c>
      <c r="C26" s="25" t="s">
        <v>191</v>
      </c>
    </row>
    <row r="27" spans="1:4" ht="22.05" customHeight="1" x14ac:dyDescent="0.3">
      <c r="A27" s="42" t="s">
        <v>233</v>
      </c>
      <c r="B27" s="27"/>
      <c r="C27" s="27"/>
      <c r="D27" s="27"/>
    </row>
    <row r="28" spans="1:4" ht="22.05" customHeight="1" x14ac:dyDescent="0.3">
      <c r="A28" s="23" t="s">
        <v>234</v>
      </c>
      <c r="B28" s="24" t="s">
        <v>235</v>
      </c>
      <c r="C28" s="25" t="s">
        <v>191</v>
      </c>
    </row>
    <row r="29" spans="1:4" ht="22.05" customHeight="1" x14ac:dyDescent="0.3">
      <c r="A29" s="23" t="s">
        <v>236</v>
      </c>
      <c r="B29" s="24" t="s">
        <v>237</v>
      </c>
      <c r="C29" s="25" t="s">
        <v>191</v>
      </c>
    </row>
    <row r="30" spans="1:4" ht="22.05" customHeight="1" x14ac:dyDescent="0.3">
      <c r="A30" s="23" t="s">
        <v>238</v>
      </c>
      <c r="B30" s="24" t="s">
        <v>239</v>
      </c>
      <c r="C30" s="25" t="s">
        <v>191</v>
      </c>
    </row>
    <row r="31" spans="1:4" ht="22.05" customHeight="1" x14ac:dyDescent="0.3">
      <c r="A31" s="23" t="s">
        <v>240</v>
      </c>
      <c r="B31" s="24" t="s">
        <v>241</v>
      </c>
      <c r="C31" s="25" t="s">
        <v>191</v>
      </c>
    </row>
    <row r="32" spans="1:4" ht="22.05" customHeight="1" x14ac:dyDescent="0.3">
      <c r="A32" s="23" t="s">
        <v>242</v>
      </c>
      <c r="B32" s="24" t="s">
        <v>243</v>
      </c>
      <c r="C32" s="25" t="s">
        <v>191</v>
      </c>
    </row>
    <row r="33" spans="1:4" ht="22.05" customHeight="1" x14ac:dyDescent="0.3">
      <c r="A33" s="23" t="s">
        <v>244</v>
      </c>
      <c r="B33" s="24" t="s">
        <v>245</v>
      </c>
      <c r="C33" s="25" t="s">
        <v>191</v>
      </c>
    </row>
    <row r="34" spans="1:4" ht="22.05" customHeight="1" x14ac:dyDescent="0.3">
      <c r="A34" s="23" t="s">
        <v>246</v>
      </c>
      <c r="B34" s="24" t="s">
        <v>247</v>
      </c>
      <c r="C34" s="25" t="s">
        <v>191</v>
      </c>
    </row>
    <row r="35" spans="1:4" ht="22.05" customHeight="1" x14ac:dyDescent="0.3">
      <c r="A35" s="23" t="s">
        <v>248</v>
      </c>
      <c r="B35" s="24" t="s">
        <v>249</v>
      </c>
      <c r="C35" s="25" t="s">
        <v>191</v>
      </c>
    </row>
    <row r="36" spans="1:4" ht="22.05" customHeight="1" x14ac:dyDescent="0.3">
      <c r="A36" s="42" t="s">
        <v>250</v>
      </c>
      <c r="B36" s="27"/>
      <c r="C36" s="27"/>
      <c r="D36" s="27"/>
    </row>
    <row r="37" spans="1:4" ht="22.05" customHeight="1" x14ac:dyDescent="0.3">
      <c r="A37" s="23" t="s">
        <v>251</v>
      </c>
      <c r="B37" s="24" t="s">
        <v>252</v>
      </c>
      <c r="C37" s="25" t="s">
        <v>191</v>
      </c>
    </row>
    <row r="38" spans="1:4" ht="22.05" customHeight="1" x14ac:dyDescent="0.3">
      <c r="A38" s="23" t="s">
        <v>253</v>
      </c>
      <c r="B38" s="24" t="s">
        <v>254</v>
      </c>
      <c r="C38" s="25" t="s">
        <v>191</v>
      </c>
    </row>
  </sheetData>
  <mergeCells count="8">
    <mergeCell ref="A36:D36"/>
    <mergeCell ref="A1:D1"/>
    <mergeCell ref="A27:D27"/>
    <mergeCell ref="A3:D3"/>
    <mergeCell ref="A20:D20"/>
    <mergeCell ref="A2:D2"/>
    <mergeCell ref="A16:D16"/>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Store Sales Data</vt:lpstr>
      <vt:lpstr>Summary &amp; Subtotal</vt:lpstr>
      <vt:lpstr>Conditional Formatting</vt:lpstr>
      <vt:lpstr>Pivot Table Tasks</vt:lpstr>
      <vt:lpstr>📋 All 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gopal behera</cp:lastModifiedBy>
  <dcterms:created xsi:type="dcterms:W3CDTF">2026-05-31T04:06:00Z</dcterms:created>
  <dcterms:modified xsi:type="dcterms:W3CDTF">2026-06-01T03:56:50Z</dcterms:modified>
</cp:coreProperties>
</file>